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Aysel\Desktop\project dashboard\theatreproject\"/>
    </mc:Choice>
  </mc:AlternateContent>
  <xr:revisionPtr revIDLastSave="0" documentId="13_ncr:1_{4B8F7339-7012-46E1-B28F-01B8A8F9B65B}" xr6:coauthVersionLast="47" xr6:coauthVersionMax="47" xr10:uidLastSave="{00000000-0000-0000-0000-000000000000}"/>
  <bookViews>
    <workbookView xWindow="-110" yWindow="-110" windowWidth="19420" windowHeight="11500" activeTab="7" xr2:uid="{00000000-000D-0000-FFFF-FFFF00000000}"/>
  </bookViews>
  <sheets>
    <sheet name="data" sheetId="1" r:id="rId1"/>
    <sheet name="Sheet3" sheetId="15" r:id="rId2"/>
    <sheet name="pivot" sheetId="3" r:id="rId3"/>
    <sheet name="pivotM" sheetId="12" r:id="rId4"/>
    <sheet name="pivotb" sheetId="10" r:id="rId5"/>
    <sheet name="OVERVIEW" sheetId="4" r:id="rId6"/>
    <sheet name="MOVIES" sheetId="6" r:id="rId7"/>
    <sheet name="BOOKINGS" sheetId="5" r:id="rId8"/>
  </sheets>
  <definedNames>
    <definedName name="Slicer_booking_status">#N/A</definedName>
    <definedName name="Slicer_month">#N/A</definedName>
    <definedName name="Slicer_movie_name1">#N/A</definedName>
    <definedName name="Slicer_payment_method">#N/A</definedName>
    <definedName name="Slicer_theatre_name">#N/A</definedName>
    <definedName name="Slicer_ticket_amount">#N/A</definedName>
  </definedNames>
  <calcPr calcId="191029"/>
  <pivotCaches>
    <pivotCache cacheId="33"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2" i="6" l="1"/>
  <c r="W3" i="5"/>
  <c r="AA5" i="4"/>
  <c r="AA4" i="4"/>
  <c r="AA7" i="4"/>
  <c r="W2" i="5"/>
  <c r="X3" i="6"/>
  <c r="W1" i="5"/>
  <c r="AA6" i="4"/>
</calcChain>
</file>

<file path=xl/sharedStrings.xml><?xml version="1.0" encoding="utf-8"?>
<sst xmlns="http://schemas.openxmlformats.org/spreadsheetml/2006/main" count="6876" uniqueCount="76">
  <si>
    <t>booking_id</t>
  </si>
  <si>
    <t>customer_id</t>
  </si>
  <si>
    <t>movie_id</t>
  </si>
  <si>
    <t>theatre_id</t>
  </si>
  <si>
    <t>show_date</t>
  </si>
  <si>
    <t>seats_booked</t>
  </si>
  <si>
    <t>ticket_amount</t>
  </si>
  <si>
    <t>booking_status</t>
  </si>
  <si>
    <t>payment_method</t>
  </si>
  <si>
    <t>ticket_price</t>
  </si>
  <si>
    <t>year</t>
  </si>
  <si>
    <t>month</t>
  </si>
  <si>
    <t>hour</t>
  </si>
  <si>
    <t>weekday</t>
  </si>
  <si>
    <t>day_type</t>
  </si>
  <si>
    <t>movie_name</t>
  </si>
  <si>
    <t>theatre_name</t>
  </si>
  <si>
    <t>Cancelled</t>
  </si>
  <si>
    <t>Credit Card</t>
  </si>
  <si>
    <t>Wednesday</t>
  </si>
  <si>
    <t>Shadow Code</t>
  </si>
  <si>
    <t>Ganja Cinema Center</t>
  </si>
  <si>
    <t>Confirmed</t>
  </si>
  <si>
    <t>Saturday</t>
  </si>
  <si>
    <t>Weekend</t>
  </si>
  <si>
    <t>Little Stars</t>
  </si>
  <si>
    <t>Cinema Plus Ganjlik Mall</t>
  </si>
  <si>
    <t>Debit Card</t>
  </si>
  <si>
    <t>Sunday</t>
  </si>
  <si>
    <t>The Last Kingdom</t>
  </si>
  <si>
    <t>Shaki Cinema</t>
  </si>
  <si>
    <t>Cash</t>
  </si>
  <si>
    <t>Baku City Cinema</t>
  </si>
  <si>
    <t>Monday</t>
  </si>
  <si>
    <t>Funny Neighbours</t>
  </si>
  <si>
    <t>Sumqayit Cinema</t>
  </si>
  <si>
    <t>Magic Planet</t>
  </si>
  <si>
    <t>Tuesday</t>
  </si>
  <si>
    <t>Family Weekend</t>
  </si>
  <si>
    <t>The Last Mission</t>
  </si>
  <si>
    <t>Park Cinema Flame Towers</t>
  </si>
  <si>
    <t>Thursday</t>
  </si>
  <si>
    <t>The Forgotten Road</t>
  </si>
  <si>
    <t>Friday</t>
  </si>
  <si>
    <t>Baku Nights</t>
  </si>
  <si>
    <t>Park Cinema Metro Park</t>
  </si>
  <si>
    <t>Mingachevir Cinema</t>
  </si>
  <si>
    <t>Robot World</t>
  </si>
  <si>
    <t>City Hunters</t>
  </si>
  <si>
    <t>Summer Story</t>
  </si>
  <si>
    <t>Ganja Mall Cinema</t>
  </si>
  <si>
    <t>Ocean Mystery</t>
  </si>
  <si>
    <t>Beyond Mars</t>
  </si>
  <si>
    <t>The Silent House</t>
  </si>
  <si>
    <t>Cinema Plus 28 Mall</t>
  </si>
  <si>
    <t>Love in Baku</t>
  </si>
  <si>
    <t>Lost Memories</t>
  </si>
  <si>
    <t>Code 404</t>
  </si>
  <si>
    <t>The Detective</t>
  </si>
  <si>
    <t>Midnight Call</t>
  </si>
  <si>
    <t>Sum of ticket_amount</t>
  </si>
  <si>
    <t>Count of booking_id</t>
  </si>
  <si>
    <t>Sum of seats_booked</t>
  </si>
  <si>
    <t>Average of ticket_amount</t>
  </si>
  <si>
    <t>Row Labels</t>
  </si>
  <si>
    <t>Grand Total</t>
  </si>
  <si>
    <t>MOVIE</t>
  </si>
  <si>
    <t>BOOKING</t>
  </si>
  <si>
    <t>ANALYTICS</t>
  </si>
  <si>
    <t>OVERVIEW</t>
  </si>
  <si>
    <t>MOVIES</t>
  </si>
  <si>
    <t>Column Labels</t>
  </si>
  <si>
    <t>BOOKINGS</t>
  </si>
  <si>
    <t>ANALYST</t>
  </si>
  <si>
    <t>Average of seats_booked</t>
  </si>
  <si>
    <t>Booking Performance &amp; Revenue &amp;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</si>
</sst>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h:mm:ss"/>
    <numFmt numFmtId="165" formatCode="&quot;$&quot;0.0,&quot;K&quot;"/>
    <numFmt numFmtId="166" formatCode="0.00\ "/>
    <numFmt numFmtId="167" formatCode="0\ &quot;AZN&quot;"/>
  </numFmts>
  <fonts count="21" x14ac:knownFonts="1">
    <font>
      <sz val="11"/>
      <color theme="1"/>
      <name val="Calibri"/>
      <family val="2"/>
      <scheme val="minor"/>
    </font>
    <font>
      <sz val="12"/>
      <color theme="0"/>
      <name val="Aptos"/>
      <family val="2"/>
    </font>
    <font>
      <b/>
      <sz val="16"/>
      <color theme="0"/>
      <name val="Aptos"/>
      <family val="2"/>
    </font>
    <font>
      <sz val="12"/>
      <color rgb="FF647488"/>
      <name val="Calibri"/>
      <family val="2"/>
      <scheme val="minor"/>
    </font>
    <font>
      <sz val="11"/>
      <color rgb="FFF5F7FA"/>
      <name val="Calibri"/>
      <family val="2"/>
      <scheme val="minor"/>
    </font>
    <font>
      <b/>
      <sz val="12"/>
      <color rgb="FFCBD5E1"/>
      <name val="Aptos"/>
      <family val="2"/>
    </font>
    <font>
      <sz val="11"/>
      <color theme="0"/>
      <name val="Calibri"/>
      <family val="2"/>
      <scheme val="minor"/>
    </font>
    <font>
      <b/>
      <sz val="20"/>
      <color theme="3"/>
      <name val="Aptos"/>
      <family val="2"/>
    </font>
    <font>
      <sz val="11"/>
      <color theme="3"/>
      <name val="Calibri"/>
      <family val="2"/>
      <scheme val="minor"/>
    </font>
    <font>
      <b/>
      <sz val="16"/>
      <color theme="3"/>
      <name val="Aptos"/>
      <family val="2"/>
    </font>
    <font>
      <sz val="16"/>
      <color theme="0"/>
      <name val="Calibri"/>
      <family val="2"/>
      <scheme val="minor"/>
    </font>
    <font>
      <sz val="16"/>
      <color theme="3"/>
      <name val="Calibri"/>
      <family val="2"/>
      <scheme val="minor"/>
    </font>
    <font>
      <sz val="10"/>
      <color theme="1"/>
      <name val="Calibri"/>
      <family val="2"/>
      <scheme val="minor"/>
    </font>
    <font>
      <b/>
      <sz val="10"/>
      <color theme="3"/>
      <name val="Aptos"/>
      <family val="2"/>
    </font>
    <font>
      <sz val="10"/>
      <color theme="3"/>
      <name val="Calibri"/>
      <family val="2"/>
      <scheme val="minor"/>
    </font>
    <font>
      <b/>
      <sz val="10"/>
      <color rgb="FFCBD5E1"/>
      <name val="Aptos"/>
      <family val="2"/>
    </font>
    <font>
      <sz val="10"/>
      <color rgb="FFF5F7FA"/>
      <name val="Calibri"/>
      <family val="2"/>
      <scheme val="minor"/>
    </font>
    <font>
      <sz val="11"/>
      <color rgb="FFFF0000"/>
      <name val="Calibri"/>
      <family val="2"/>
      <scheme val="minor"/>
    </font>
    <font>
      <sz val="16"/>
      <color theme="1"/>
      <name val="Calibri"/>
      <family val="2"/>
      <scheme val="minor"/>
    </font>
    <font>
      <b/>
      <sz val="20"/>
      <color theme="0"/>
      <name val="Aptos"/>
      <family val="2"/>
    </font>
    <font>
      <b/>
      <sz val="18"/>
      <color theme="0"/>
      <name val="Aptos"/>
      <family val="2"/>
    </font>
  </fonts>
  <fills count="7">
    <fill>
      <patternFill patternType="none"/>
    </fill>
    <fill>
      <patternFill patternType="gray125"/>
    </fill>
    <fill>
      <patternFill patternType="solid">
        <fgColor rgb="FFF5F7FA"/>
        <bgColor indexed="64"/>
      </patternFill>
    </fill>
    <fill>
      <patternFill patternType="solid">
        <fgColor rgb="FF172033"/>
        <bgColor indexed="64"/>
      </patternFill>
    </fill>
    <fill>
      <patternFill patternType="solid">
        <fgColor rgb="FFEBEFF5"/>
        <bgColor indexed="64"/>
      </patternFill>
    </fill>
    <fill>
      <patternFill patternType="solid">
        <fgColor theme="4" tint="0.59999389629810485"/>
        <bgColor indexed="64"/>
      </patternFill>
    </fill>
    <fill>
      <patternFill patternType="solid">
        <fgColor theme="3" tint="-0.499984740745262"/>
        <bgColor indexed="64"/>
      </patternFill>
    </fill>
  </fills>
  <borders count="1">
    <border>
      <left/>
      <right/>
      <top/>
      <bottom/>
      <diagonal/>
    </border>
  </borders>
  <cellStyleXfs count="1">
    <xf numFmtId="0" fontId="0" fillId="0" borderId="0"/>
  </cellStyleXfs>
  <cellXfs count="49">
    <xf numFmtId="0" fontId="0" fillId="0" borderId="0" xfId="0"/>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2" fillId="3" borderId="0" xfId="0" applyFont="1" applyFill="1"/>
    <xf numFmtId="0" fontId="1" fillId="3" borderId="0" xfId="0" applyFont="1" applyFill="1"/>
    <xf numFmtId="165" fontId="0" fillId="0" borderId="0" xfId="0" applyNumberFormat="1"/>
    <xf numFmtId="1" fontId="0" fillId="0" borderId="0" xfId="0" applyNumberFormat="1"/>
    <xf numFmtId="166" fontId="0" fillId="0" borderId="0" xfId="0" applyNumberFormat="1"/>
    <xf numFmtId="0" fontId="0" fillId="5" borderId="0" xfId="0" applyFill="1"/>
    <xf numFmtId="0" fontId="0" fillId="4" borderId="0" xfId="0" applyFill="1"/>
    <xf numFmtId="0" fontId="7" fillId="5" borderId="0" xfId="0" applyFont="1" applyFill="1" applyAlignment="1">
      <alignment horizontal="center"/>
    </xf>
    <xf numFmtId="0" fontId="6" fillId="4" borderId="0" xfId="0" applyFont="1" applyFill="1"/>
    <xf numFmtId="0" fontId="12" fillId="0" borderId="0" xfId="0" applyFont="1"/>
    <xf numFmtId="0" fontId="0" fillId="0" borderId="0" xfId="0" applyAlignment="1">
      <alignment horizontal="center"/>
    </xf>
    <xf numFmtId="0" fontId="17" fillId="0" borderId="0" xfId="0" applyFont="1"/>
    <xf numFmtId="2" fontId="0" fillId="0" borderId="0" xfId="0" applyNumberFormat="1"/>
    <xf numFmtId="167" fontId="0" fillId="0" borderId="0" xfId="0" applyNumberFormat="1"/>
    <xf numFmtId="22" fontId="0" fillId="0" borderId="0" xfId="0" applyNumberFormat="1"/>
    <xf numFmtId="0" fontId="12" fillId="6" borderId="0" xfId="0" applyFont="1" applyFill="1"/>
    <xf numFmtId="0" fontId="13" fillId="6" borderId="0" xfId="0" applyFont="1" applyFill="1" applyAlignment="1">
      <alignment horizontal="center"/>
    </xf>
    <xf numFmtId="0" fontId="18" fillId="6" borderId="0" xfId="0" applyFont="1" applyFill="1"/>
    <xf numFmtId="0" fontId="7" fillId="5" borderId="0" xfId="0" applyFont="1" applyFill="1" applyAlignment="1">
      <alignment horizontal="center"/>
    </xf>
    <xf numFmtId="0" fontId="7" fillId="5" borderId="0" xfId="0" applyFont="1" applyFill="1" applyAlignment="1">
      <alignment horizontal="center" vertical="top"/>
    </xf>
    <xf numFmtId="0" fontId="9" fillId="5" borderId="0" xfId="0" applyFont="1" applyFill="1" applyAlignment="1">
      <alignment horizontal="center" vertical="top"/>
    </xf>
    <xf numFmtId="0" fontId="9" fillId="5" borderId="0" xfId="0" applyFont="1" applyFill="1" applyAlignment="1">
      <alignment horizontal="center"/>
    </xf>
    <xf numFmtId="0" fontId="11" fillId="5" borderId="0" xfId="0" applyFont="1" applyFill="1" applyAlignment="1">
      <alignment horizontal="center"/>
    </xf>
    <xf numFmtId="0" fontId="5" fillId="5" borderId="0" xfId="0" applyFont="1" applyFill="1" applyAlignment="1">
      <alignment horizontal="center"/>
    </xf>
    <xf numFmtId="0" fontId="4" fillId="5" borderId="0" xfId="0" applyFont="1" applyFill="1" applyAlignment="1">
      <alignment horizontal="center"/>
    </xf>
    <xf numFmtId="0" fontId="3" fillId="2" borderId="0" xfId="0" applyFont="1" applyFill="1" applyAlignment="1">
      <alignment horizontal="center"/>
    </xf>
    <xf numFmtId="0" fontId="0" fillId="2" borderId="0" xfId="0" applyFill="1" applyAlignment="1">
      <alignment horizontal="center"/>
    </xf>
    <xf numFmtId="0" fontId="8" fillId="5" borderId="0" xfId="0" applyFont="1" applyFill="1" applyAlignment="1">
      <alignment horizontal="center"/>
    </xf>
    <xf numFmtId="0" fontId="10" fillId="5" borderId="0" xfId="0" applyFont="1" applyFill="1" applyAlignment="1">
      <alignment horizontal="center"/>
    </xf>
    <xf numFmtId="0" fontId="15" fillId="6" borderId="0" xfId="0" applyFont="1" applyFill="1" applyAlignment="1">
      <alignment horizontal="center"/>
    </xf>
    <xf numFmtId="0" fontId="16" fillId="6" borderId="0" xfId="0" applyFont="1" applyFill="1" applyAlignment="1">
      <alignment horizontal="center"/>
    </xf>
    <xf numFmtId="0" fontId="9" fillId="6" borderId="0" xfId="0" applyFont="1" applyFill="1" applyAlignment="1">
      <alignment horizontal="center"/>
    </xf>
    <xf numFmtId="0" fontId="10" fillId="6" borderId="0" xfId="0" applyFont="1" applyFill="1" applyAlignment="1">
      <alignment horizontal="center"/>
    </xf>
    <xf numFmtId="0" fontId="11" fillId="6" borderId="0" xfId="0" applyFont="1" applyFill="1" applyAlignment="1">
      <alignment horizontal="center"/>
    </xf>
    <xf numFmtId="0" fontId="13" fillId="6" borderId="0" xfId="0" applyFont="1" applyFill="1" applyAlignment="1">
      <alignment horizontal="center"/>
    </xf>
    <xf numFmtId="0" fontId="14" fillId="6" borderId="0" xfId="0" applyFont="1" applyFill="1" applyAlignment="1">
      <alignment horizontal="center"/>
    </xf>
    <xf numFmtId="0" fontId="19" fillId="6" borderId="0" xfId="0" applyFont="1" applyFill="1" applyAlignment="1">
      <alignment horizontal="center"/>
    </xf>
    <xf numFmtId="0" fontId="2" fillId="6" borderId="0" xfId="0" applyFont="1" applyFill="1" applyAlignment="1">
      <alignment horizontal="center"/>
    </xf>
    <xf numFmtId="0" fontId="20" fillId="6" borderId="0" xfId="0" applyFont="1" applyFill="1" applyAlignment="1">
      <alignment horizontal="center" vertical="center"/>
    </xf>
    <xf numFmtId="0" fontId="19" fillId="6" borderId="0" xfId="0" applyFont="1" applyFill="1" applyAlignment="1">
      <alignment horizontal="center" vertical="top"/>
    </xf>
    <xf numFmtId="0" fontId="5" fillId="3" borderId="0" xfId="0" applyFont="1" applyFill="1" applyAlignment="1">
      <alignment horizontal="center"/>
    </xf>
    <xf numFmtId="0" fontId="4" fillId="3" borderId="0" xfId="0" applyFont="1" applyFill="1" applyAlignment="1">
      <alignment horizontal="center"/>
    </xf>
  </cellXfs>
  <cellStyles count="1">
    <cellStyle name="Normal" xfId="0" builtinId="0"/>
  </cellStyles>
  <dxfs count="417">
    <dxf>
      <numFmt numFmtId="2" formatCode="0.00"/>
    </dxf>
    <dxf>
      <numFmt numFmtId="2" formatCode="0.00"/>
    </dxf>
    <dxf>
      <numFmt numFmtId="2" formatCode="0.00"/>
    </dxf>
    <dxf>
      <numFmt numFmtId="166" formatCode="0.00\ "/>
    </dxf>
    <dxf>
      <numFmt numFmtId="1" formatCode="0"/>
    </dxf>
    <dxf>
      <numFmt numFmtId="165" formatCode="&quot;$&quot;0.0,&quot;K&quot;"/>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2" formatCode="0.00"/>
    </dxf>
    <dxf>
      <numFmt numFmtId="2" formatCode="0.00"/>
    </dxf>
    <dxf>
      <numFmt numFmtId="166" formatCode="0.00\ "/>
    </dxf>
    <dxf>
      <numFmt numFmtId="1" formatCode="0"/>
    </dxf>
    <dxf>
      <numFmt numFmtId="165" formatCode="&quot;$&quot;0.0,&quot;K&quot;"/>
    </dxf>
    <dxf>
      <numFmt numFmtId="2" formatCode="0.00"/>
    </dxf>
    <dxf>
      <numFmt numFmtId="2" formatCode="0.00"/>
    </dxf>
    <dxf>
      <numFmt numFmtId="2" formatCode="0.00"/>
    </dxf>
    <dxf>
      <numFmt numFmtId="166" formatCode="0.00\ "/>
    </dxf>
    <dxf>
      <numFmt numFmtId="1" formatCode="0"/>
    </dxf>
    <dxf>
      <numFmt numFmtId="165" formatCode="&quot;$&quot;0.0,&quot;K&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2" formatCode="0.00"/>
    </dxf>
    <dxf>
      <numFmt numFmtId="2" formatCode="0.00"/>
    </dxf>
    <dxf>
      <numFmt numFmtId="166" formatCode="0.00\ "/>
    </dxf>
    <dxf>
      <numFmt numFmtId="1" formatCode="0"/>
    </dxf>
    <dxf>
      <numFmt numFmtId="165" formatCode="&quot;$&quot;0.0,&quot;K&quot;"/>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2" formatCode="0.00"/>
    </dxf>
    <dxf>
      <numFmt numFmtId="2" formatCode="0.00"/>
    </dxf>
    <dxf>
      <numFmt numFmtId="166" formatCode="0.00\ "/>
    </dxf>
    <dxf>
      <numFmt numFmtId="1" formatCode="0"/>
    </dxf>
    <dxf>
      <numFmt numFmtId="165" formatCode="&quot;$&quot;0.0,&quot;K&quot;"/>
    </dxf>
    <dxf>
      <numFmt numFmtId="2" formatCode="0.00"/>
    </dxf>
    <dxf>
      <numFmt numFmtId="2" formatCode="0.00"/>
    </dxf>
    <dxf>
      <numFmt numFmtId="2" formatCode="0.00"/>
    </dxf>
    <dxf>
      <numFmt numFmtId="166" formatCode="0.00\ "/>
    </dxf>
    <dxf>
      <numFmt numFmtId="1" formatCode="0"/>
    </dxf>
    <dxf>
      <numFmt numFmtId="165" formatCode="&quot;$&quot;0.0,&quot;K&quot;"/>
    </dxf>
    <dxf>
      <numFmt numFmtId="2" formatCode="0.00"/>
    </dxf>
    <dxf>
      <numFmt numFmtId="2" formatCode="0.00"/>
    </dxf>
    <dxf>
      <numFmt numFmtId="2" formatCode="0.00"/>
    </dxf>
    <dxf>
      <numFmt numFmtId="2" formatCode="0.00"/>
    </dxf>
    <dxf>
      <numFmt numFmtId="1" formatCode="0"/>
    </dxf>
    <dxf>
      <numFmt numFmtId="166" formatCode="0.00\ "/>
    </dxf>
    <dxf>
      <numFmt numFmtId="165" formatCode="&quot;$&quot;0.0,&quot;K&quot;"/>
    </dxf>
    <dxf>
      <numFmt numFmtId="2" formatCode="0.00"/>
    </dxf>
    <dxf>
      <numFmt numFmtId="2" formatCode="0.00"/>
    </dxf>
    <dxf>
      <numFmt numFmtId="2" formatCode="0.00"/>
    </dxf>
    <dxf>
      <numFmt numFmtId="1" formatCode="0"/>
    </dxf>
    <dxf>
      <numFmt numFmtId="166" formatCode="0.00\ "/>
    </dxf>
    <dxf>
      <numFmt numFmtId="165" formatCode="&quot;$&quot;0.0,&quot;K&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2" formatCode="0.00"/>
    </dxf>
    <dxf>
      <numFmt numFmtId="2" formatCode="0.00"/>
    </dxf>
    <dxf>
      <numFmt numFmtId="2" formatCode="0.00"/>
    </dxf>
    <dxf>
      <numFmt numFmtId="166" formatCode="0.00\ "/>
    </dxf>
    <dxf>
      <numFmt numFmtId="1" formatCode="0"/>
    </dxf>
    <dxf>
      <numFmt numFmtId="165" formatCode="&quot;$&quot;0.0,&quot;K&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2" formatCode="0.00"/>
    </dxf>
    <dxf>
      <numFmt numFmtId="2" formatCode="0.00"/>
    </dxf>
    <dxf>
      <numFmt numFmtId="2" formatCode="0.00"/>
    </dxf>
    <dxf>
      <numFmt numFmtId="1" formatCode="0"/>
    </dxf>
    <dxf>
      <numFmt numFmtId="166" formatCode="0.00\ "/>
    </dxf>
    <dxf>
      <numFmt numFmtId="165" formatCode="&quot;$&quot;0.0,&quot;K&quot;"/>
    </dxf>
    <dxf>
      <numFmt numFmtId="2" formatCode="0.00"/>
    </dxf>
    <dxf>
      <numFmt numFmtId="2" formatCode="0.00"/>
    </dxf>
    <dxf>
      <numFmt numFmtId="2" formatCode="0.00"/>
    </dxf>
    <dxf>
      <numFmt numFmtId="166" formatCode="0.00\ "/>
    </dxf>
    <dxf>
      <numFmt numFmtId="1" formatCode="0"/>
    </dxf>
    <dxf>
      <numFmt numFmtId="165" formatCode="&quot;$&quot;0.0,&quot;K&quot;"/>
    </dxf>
    <dxf>
      <numFmt numFmtId="2" formatCode="0.00"/>
    </dxf>
    <dxf>
      <numFmt numFmtId="2" formatCode="0.00"/>
    </dxf>
    <dxf>
      <numFmt numFmtId="2" formatCode="0.00"/>
    </dxf>
    <dxf>
      <numFmt numFmtId="166" formatCode="0.00\ "/>
    </dxf>
    <dxf>
      <numFmt numFmtId="1" formatCode="0"/>
    </dxf>
    <dxf>
      <numFmt numFmtId="165" formatCode="&quot;$&quot;0.0,&quot;K&quot;"/>
    </dxf>
    <dxf>
      <numFmt numFmtId="2" formatCode="0.00"/>
    </dxf>
    <dxf>
      <numFmt numFmtId="2" formatCode="0.00"/>
    </dxf>
    <dxf>
      <numFmt numFmtId="2" formatCode="0.00"/>
    </dxf>
    <dxf>
      <numFmt numFmtId="1" formatCode="0"/>
    </dxf>
    <dxf>
      <numFmt numFmtId="166" formatCode="0.00\ "/>
    </dxf>
    <dxf>
      <numFmt numFmtId="165" formatCode="&quot;$&quot;0.0,&quot;K&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2" formatCode="0.00"/>
    </dxf>
    <dxf>
      <numFmt numFmtId="2" formatCode="0.00"/>
    </dxf>
    <dxf>
      <numFmt numFmtId="166" formatCode="0.00\ "/>
    </dxf>
    <dxf>
      <numFmt numFmtId="1" formatCode="0"/>
    </dxf>
    <dxf>
      <numFmt numFmtId="165" formatCode="&quot;$&quot;0.0,&quot;K&quot;"/>
    </dxf>
    <dxf>
      <numFmt numFmtId="2" formatCode="0.00"/>
    </dxf>
    <dxf>
      <numFmt numFmtId="2" formatCode="0.00"/>
    </dxf>
    <dxf>
      <numFmt numFmtId="2" formatCode="0.00"/>
    </dxf>
    <dxf>
      <numFmt numFmtId="2" formatCode="0.00"/>
    </dxf>
    <dxf>
      <numFmt numFmtId="166" formatCode="0.00\ "/>
    </dxf>
    <dxf>
      <numFmt numFmtId="1" formatCode="0"/>
    </dxf>
    <dxf>
      <numFmt numFmtId="165" formatCode="&quot;$&quot;0.0,&quot;K&quot;"/>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167" formatCode="0\ &quot;AZN&quot;"/>
    </dxf>
    <dxf>
      <numFmt numFmtId="167" formatCode="0\ &quot;AZN&quot;"/>
    </dxf>
    <dxf>
      <numFmt numFmtId="2" formatCode="0.00"/>
    </dxf>
    <dxf>
      <numFmt numFmtId="2" formatCode="0.00"/>
    </dxf>
    <dxf>
      <numFmt numFmtId="2" formatCode="0.00"/>
    </dxf>
    <dxf>
      <numFmt numFmtId="167" formatCode="0\ &quot;AZN&quot;"/>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2" formatCode="0.00"/>
    </dxf>
    <dxf>
      <numFmt numFmtId="2" formatCode="0.00"/>
    </dxf>
    <dxf>
      <numFmt numFmtId="2" formatCode="0.00"/>
    </dxf>
    <dxf>
      <numFmt numFmtId="166" formatCode="0.00\ "/>
    </dxf>
    <dxf>
      <numFmt numFmtId="1" formatCode="0"/>
    </dxf>
    <dxf>
      <numFmt numFmtId="165" formatCode="&quot;$&quot;0.0,&quot;K&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2" formatCode="0.00"/>
    </dxf>
    <dxf>
      <numFmt numFmtId="2" formatCode="0.00"/>
    </dxf>
    <dxf>
      <numFmt numFmtId="166" formatCode="0.00\ "/>
    </dxf>
    <dxf>
      <numFmt numFmtId="1" formatCode="0"/>
    </dxf>
    <dxf>
      <numFmt numFmtId="165" formatCode="&quot;$&quot;0.0,&quot;K&quot;"/>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167" formatCode="0\ &quot;AZN&quot;"/>
    </dxf>
    <dxf>
      <numFmt numFmtId="2" formatCode="0.00"/>
    </dxf>
    <dxf>
      <numFmt numFmtId="2" formatCode="0.00"/>
    </dxf>
    <dxf>
      <numFmt numFmtId="166" formatCode="0.00\ "/>
    </dxf>
    <dxf>
      <numFmt numFmtId="1" formatCode="0"/>
    </dxf>
    <dxf>
      <numFmt numFmtId="165" formatCode="&quot;$&quot;0.0,&quot;K&quot;"/>
    </dxf>
    <dxf>
      <numFmt numFmtId="2" formatCode="0.00"/>
    </dxf>
    <dxf>
      <numFmt numFmtId="2" formatCode="0.00"/>
    </dxf>
    <dxf>
      <numFmt numFmtId="167" formatCode="0\ &quot;AZN&quot;"/>
    </dxf>
    <dxf>
      <numFmt numFmtId="2" formatCode="0.00"/>
    </dxf>
    <dxf>
      <numFmt numFmtId="1" formatCode="0"/>
    </dxf>
    <dxf>
      <numFmt numFmtId="166" formatCode="0.00\ "/>
    </dxf>
    <dxf>
      <numFmt numFmtId="165" formatCode="&quot;$&quot;0.0,&quot;K&quot;"/>
    </dxf>
    <dxf>
      <numFmt numFmtId="2" formatCode="0.00"/>
    </dxf>
    <dxf>
      <numFmt numFmtId="2" formatCode="0.00"/>
    </dxf>
    <dxf>
      <numFmt numFmtId="167" formatCode="0\ &quot;AZN&quot;"/>
    </dxf>
    <dxf>
      <numFmt numFmtId="2" formatCode="0.00"/>
    </dxf>
    <dxf>
      <numFmt numFmtId="1" formatCode="0"/>
    </dxf>
    <dxf>
      <numFmt numFmtId="166" formatCode="0.00\ "/>
    </dxf>
    <dxf>
      <numFmt numFmtId="165" formatCode="&quot;$&quot;0.0,&quot;K&quot;"/>
    </dxf>
    <dxf>
      <numFmt numFmtId="2" formatCode="0.00"/>
    </dxf>
    <dxf>
      <numFmt numFmtId="2" formatCode="0.00"/>
    </dxf>
    <dxf>
      <numFmt numFmtId="2" formatCode="0.00"/>
    </dxf>
    <dxf>
      <numFmt numFmtId="167" formatCode="0\ &quot;AZN&quot;"/>
    </dxf>
    <dxf>
      <numFmt numFmtId="165" formatCode="&quot;$&quot;0.0,&quot;K&quot;"/>
    </dxf>
    <dxf>
      <numFmt numFmtId="166" formatCode="0.00\ "/>
    </dxf>
    <dxf>
      <numFmt numFmtId="1" formatCode="0"/>
    </dxf>
    <dxf>
      <numFmt numFmtId="27" formatCode="m/d/yyyy\ h:mm"/>
    </dxf>
    <dxf>
      <fill>
        <patternFill>
          <bgColor rgb="FF172033"/>
        </patternFill>
      </fill>
    </dxf>
    <dxf>
      <border diagonalUp="0" diagonalDown="0">
        <left/>
        <right/>
        <top/>
        <bottom/>
        <vertical/>
        <horizontal/>
      </border>
    </dxf>
    <dxf>
      <border>
        <left style="thin">
          <color auto="1"/>
        </left>
        <right style="thin">
          <color auto="1"/>
        </right>
        <top style="thin">
          <color auto="1"/>
        </top>
        <bottom style="thin">
          <color auto="1"/>
        </bottom>
      </border>
    </dxf>
    <dxf>
      <font>
        <color theme="0"/>
      </font>
      <fill>
        <patternFill>
          <bgColor rgb="FF172033"/>
        </patternFill>
      </fill>
    </dxf>
    <dxf>
      <font>
        <color theme="0"/>
      </font>
      <fill>
        <patternFill>
          <bgColor theme="4" tint="0.59996337778862885"/>
        </patternFill>
      </fill>
    </dxf>
    <dxf>
      <fill>
        <patternFill>
          <bgColor theme="4" tint="-0.24994659260841701"/>
        </patternFill>
      </fill>
    </dxf>
    <dxf>
      <font>
        <color theme="0"/>
      </font>
    </dxf>
    <dxf>
      <fill>
        <patternFill>
          <bgColor rgb="FFFF0000"/>
        </patternFill>
      </fill>
    </dxf>
    <dxf>
      <font>
        <color theme="0"/>
      </font>
    </dxf>
    <dxf>
      <fill>
        <patternFill>
          <bgColor rgb="FF172033"/>
        </patternFill>
      </fill>
      <border>
        <left style="dashed">
          <color theme="0"/>
        </left>
        <right style="dashed">
          <color theme="0"/>
        </right>
        <top style="dashed">
          <color theme="0"/>
        </top>
        <bottom style="dashed">
          <color theme="0"/>
        </bottom>
      </border>
    </dxf>
    <dxf>
      <border>
        <left style="dashed">
          <color theme="0"/>
        </left>
        <right style="dashed">
          <color theme="0"/>
        </right>
        <top style="dashed">
          <color theme="0"/>
        </top>
        <bottom style="dashed">
          <color theme="0"/>
        </bottom>
      </border>
    </dxf>
    <dxf>
      <border>
        <left style="thin">
          <color theme="1"/>
        </left>
        <right style="thin">
          <color theme="1"/>
        </right>
        <top style="thin">
          <color theme="1"/>
        </top>
        <bottom style="thin">
          <color theme="1"/>
        </bottom>
      </border>
    </dxf>
    <dxf>
      <font>
        <color theme="0"/>
      </font>
      <fill>
        <patternFill>
          <bgColor rgb="FF172033"/>
        </patternFill>
      </fill>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vertical/>
        <horizontal style="thick">
          <color auto="1"/>
        </horizontal>
      </border>
    </dxf>
    <dxf>
      <fill>
        <patternFill>
          <bgColor theme="0" tint="-4.9989318521683403E-2"/>
        </patternFill>
      </fill>
    </dxf>
  </dxfs>
  <tableStyles count="20" defaultTableStyle="TableStyleMedium2" defaultPivotStyle="PivotStyleLight16">
    <tableStyle name="Slicer Style 1" pivot="0" table="0" count="1" xr9:uid="{5F81E17E-3B83-45BB-B415-191A0C79F6A4}">
      <tableStyleElement type="headerRow" dxfId="416"/>
    </tableStyle>
    <tableStyle name="Slicer Style 10" pivot="0" table="0" count="0" xr9:uid="{2AE85D09-C1E2-44F6-8D70-8B905EEC69E2}"/>
    <tableStyle name="Slicer Style 11" pivot="0" table="0" count="1" xr9:uid="{D3EC8B7F-517E-4616-914B-F6B7C47CA06F}">
      <tableStyleElement type="wholeTable" dxfId="415"/>
    </tableStyle>
    <tableStyle name="Slicer Style 12" pivot="0" table="0" count="1" xr9:uid="{C7D7E8FD-FDE4-4F1B-8A87-4A968BA8EEE0}">
      <tableStyleElement type="wholeTable" dxfId="414"/>
    </tableStyle>
    <tableStyle name="Slicer Style 13" pivot="0" table="0" count="0" xr9:uid="{8C39E18B-4AD9-4882-BE2B-C0F40386AB4F}"/>
    <tableStyle name="Slicer Style 14" pivot="0" table="0" count="0" xr9:uid="{B10B5059-C985-472F-9DFB-5E3B3436B86D}"/>
    <tableStyle name="Slicer Style 15" pivot="0" table="0" count="1" xr9:uid="{7BD352BE-1EB7-4AC1-B811-75B61B6FFBFD}"/>
    <tableStyle name="Slicer Style 16" pivot="0" table="0" count="2" xr9:uid="{88B434EA-F555-4FD1-9318-5602B676C20B}">
      <tableStyleElement type="wholeTable" dxfId="413"/>
    </tableStyle>
    <tableStyle name="Slicer Style 17" pivot="0" table="0" count="1" xr9:uid="{5FD9B248-51E0-459A-83AB-399CAA1EB02F}">
      <tableStyleElement type="wholeTable" dxfId="412"/>
    </tableStyle>
    <tableStyle name="Slicer Style 18" pivot="0" table="0" count="1" xr9:uid="{18087C75-A20B-4E6F-BE98-E5E3BA71A4C2}">
      <tableStyleElement type="wholeTable" dxfId="411"/>
    </tableStyle>
    <tableStyle name="Slicer Style 19" pivot="0" table="0" count="1" xr9:uid="{123138CD-49C9-4C70-9202-94F2BE1C4615}">
      <tableStyleElement type="wholeTable" dxfId="410"/>
    </tableStyle>
    <tableStyle name="Slicer Style 2" pivot="0" table="0" count="1" xr9:uid="{F5EAA7D1-AC22-4CEC-8E10-9030C1B4ADAB}">
      <tableStyleElement type="headerRow" dxfId="409"/>
    </tableStyle>
    <tableStyle name="Slicer Style 20" pivot="0" table="0" count="1" xr9:uid="{6E6B7F90-78F5-4878-871B-3DF090CF6737}">
      <tableStyleElement type="wholeTable" dxfId="408"/>
    </tableStyle>
    <tableStyle name="Slicer Style 3" pivot="0" table="0" count="2" xr9:uid="{8EC470E8-93CD-445E-9957-9EAF96AA4DD7}">
      <tableStyleElement type="headerRow" dxfId="407"/>
    </tableStyle>
    <tableStyle name="Slicer Style 4" pivot="0" table="0" count="1" xr9:uid="{D03F4C22-CCF6-40C0-9447-EFBD940D8DCB}"/>
    <tableStyle name="Slicer Style 5" pivot="0" table="0" count="1" xr9:uid="{93EE5E4C-25A5-4AB1-AB1D-7EA68FC31AA3}">
      <tableStyleElement type="wholeTable" dxfId="406"/>
    </tableStyle>
    <tableStyle name="Slicer Style 6" pivot="0" table="0" count="1" xr9:uid="{8721B20D-9501-47E5-B696-AB0D74063908}">
      <tableStyleElement type="wholeTable" dxfId="405"/>
    </tableStyle>
    <tableStyle name="Slicer Style 7" pivot="0" table="0" count="1" xr9:uid="{06D23B90-0338-4606-AAF5-C81E556F073F}">
      <tableStyleElement type="wholeTable" dxfId="404"/>
    </tableStyle>
    <tableStyle name="Slicer Style 8" pivot="0" table="0" count="1" xr9:uid="{51BF2CD0-EC7F-41C6-A6E8-5AAA65D13391}">
      <tableStyleElement type="headerRow" dxfId="403"/>
    </tableStyle>
    <tableStyle name="Slicer Style 9" pivot="0" table="0" count="1" xr9:uid="{17FC1BB4-5FFD-4A19-B187-4BFBBBFD7C83}">
      <tableStyleElement type="headerRow" dxfId="402"/>
    </tableStyle>
  </tableStyles>
  <colors>
    <mruColors>
      <color rgb="FFEBEFF5"/>
      <color rgb="FFD8E0EC"/>
      <color rgb="FFCBD5E1"/>
      <color rgb="FF172033"/>
      <color rgb="FFF5F7FA"/>
      <color rgb="FF6A85B2"/>
      <color rgb="FF2563EB"/>
      <color rgb="FF647488"/>
    </mruColors>
  </colors>
  <extLst>
    <ext xmlns:x14="http://schemas.microsoft.com/office/spreadsheetml/2009/9/main" uri="{46F421CA-312F-682f-3DD2-61675219B42D}">
      <x14:dxfs count="4">
        <dxf>
          <fill>
            <patternFill>
              <bgColor theme="4" tint="0.39994506668294322"/>
            </patternFill>
          </fill>
        </dxf>
        <dxf>
          <fill>
            <patternFill>
              <bgColor theme="4" tint="0.79998168889431442"/>
            </patternFill>
          </fill>
        </dxf>
        <dxf>
          <fill>
            <patternFill>
              <bgColor theme="4" tint="0.79998168889431442"/>
            </patternFill>
          </fill>
        </dxf>
        <dxf>
          <fill>
            <patternFill>
              <bgColor theme="4" tint="0.79998168889431442"/>
            </patternFill>
          </fill>
        </dxf>
      </x14:dxfs>
    </ext>
    <ext xmlns:x14="http://schemas.microsoft.com/office/spreadsheetml/2009/9/main" uri="{EB79DEF2-80B8-43e5-95BD-54CBDDF9020C}">
      <x14:slicerStyles defaultSlicerStyle="SlicerStyleLight1">
        <x14:slicerStyle name="Slicer Style 1"/>
        <x14:slicerStyle name="Slicer Style 10"/>
        <x14:slicerStyle name="Slicer Style 11"/>
        <x14:slicerStyle name="Slicer Style 12"/>
        <x14:slicerStyle name="Slicer Style 13"/>
        <x14:slicerStyle name="Slicer Style 14"/>
        <x14:slicerStyle name="Slicer Style 15">
          <x14:slicerStyleElements>
            <x14:slicerStyleElement type="selectedItemWithData" dxfId="3"/>
          </x14:slicerStyleElements>
        </x14:slicerStyle>
        <x14:slicerStyle name="Slicer Style 16">
          <x14:slicerStyleElements>
            <x14:slicerStyleElement type="hoveredSelectedItemWithData" dxfId="2"/>
          </x14:slicerStyleElements>
        </x14:slicerStyle>
        <x14:slicerStyle name="Slicer Style 17"/>
        <x14:slicerStyle name="Slicer Style 18"/>
        <x14:slicerStyle name="Slicer Style 19"/>
        <x14:slicerStyle name="Slicer Style 2"/>
        <x14:slicerStyle name="Slicer Style 20"/>
        <x14:slicerStyle name="Slicer Style 3">
          <x14:slicerStyleElements>
            <x14:slicerStyleElement type="selectedItemWithData" dxfId="1"/>
          </x14:slicerStyleElements>
        </x14:slicerStyle>
        <x14:slicerStyle name="Slicer Style 4">
          <x14:slicerStyleElements>
            <x14:slicerStyleElement type="hoveredSelectedItemWithData" dxfId="0"/>
          </x14:slicerStyleElements>
        </x14:slicerStyle>
        <x14:slicerStyle name="Slicer Style 5"/>
        <x14:slicerStyle name="Slicer Style 6"/>
        <x14:slicerStyle name="Slicer Style 7"/>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[movie_booking_analysis.xlsx]pivot!PivotTable5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37-4D56-9590-85CBFCEF89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37-4D56-9590-85CBFCEF8914}"/>
              </c:ext>
            </c:extLst>
          </c:dPt>
          <c:cat>
            <c:strRef>
              <c:f>pivot!$A$17:$A$19</c:f>
              <c:strCache>
                <c:ptCount val="2"/>
                <c:pt idx="0">
                  <c:v>Cancelled</c:v>
                </c:pt>
                <c:pt idx="1">
                  <c:v>Confirmed</c:v>
                </c:pt>
              </c:strCache>
            </c:strRef>
          </c:cat>
          <c:val>
            <c:numRef>
              <c:f>pivot!$B$17:$B$19</c:f>
              <c:numCache>
                <c:formatCode>General</c:formatCode>
                <c:ptCount val="2"/>
                <c:pt idx="0">
                  <c:v>90</c:v>
                </c:pt>
                <c:pt idx="1">
                  <c:v>910</c:v>
                </c:pt>
              </c:numCache>
            </c:numRef>
          </c:val>
          <c:extLst>
            <c:ext xmlns:c16="http://schemas.microsoft.com/office/drawing/2014/chart" uri="{C3380CC4-5D6E-409C-BE32-E72D297353CC}">
              <c16:uniqueId val="{00000000-4849-4D3F-A8D8-39B697CE7D7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[movie_booking_analysis.xlsx]pivot!PivotTable19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pivot!$B$97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4D-4CF0-94D9-DE64546DC0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4D-4CF0-94D9-DE64546DC0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4D-4CF0-94D9-DE64546DC065}"/>
              </c:ext>
            </c:extLst>
          </c:dPt>
          <c:cat>
            <c:strRef>
              <c:f>pivot!$A$98:$A$101</c:f>
              <c:strCache>
                <c:ptCount val="3"/>
                <c:pt idx="0">
                  <c:v>Cash</c:v>
                </c:pt>
                <c:pt idx="1">
                  <c:v>Credit Card</c:v>
                </c:pt>
                <c:pt idx="2">
                  <c:v>Debit Card</c:v>
                </c:pt>
              </c:strCache>
            </c:strRef>
          </c:cat>
          <c:val>
            <c:numRef>
              <c:f>pivot!$B$98:$B$101</c:f>
              <c:numCache>
                <c:formatCode>General</c:formatCode>
                <c:ptCount val="3"/>
                <c:pt idx="0">
                  <c:v>316</c:v>
                </c:pt>
                <c:pt idx="1">
                  <c:v>363</c:v>
                </c:pt>
                <c:pt idx="2">
                  <c:v>321</c:v>
                </c:pt>
              </c:numCache>
            </c:numRef>
          </c:val>
          <c:extLst>
            <c:ext xmlns:c16="http://schemas.microsoft.com/office/drawing/2014/chart" uri="{C3380CC4-5D6E-409C-BE32-E72D297353CC}">
              <c16:uniqueId val="{00000000-B462-40A5-8461-70E53F79388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[movie_booking_analysis.xlsx]pivot!PivotTable6</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tx2"/>
                </a:solidFill>
              </a:rPr>
              <a:t>Revenue by Month</a:t>
            </a:r>
          </a:p>
        </c:rich>
      </c:tx>
      <c:layout>
        <c:manualLayout>
          <c:xMode val="edge"/>
          <c:yMode val="edge"/>
          <c:x val="2.6221054182979719E-2"/>
          <c:y val="2.682920234035145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pivot!$B$29</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pivot!$A$30:$A$42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pivot!$B$30:$B$42</c:f>
              <c:numCache>
                <c:formatCode>General</c:formatCode>
                <c:ptCount val="12"/>
                <c:pt idx="0">
                  <c:v>2382</c:v>
                </c:pt>
                <c:pt idx="1">
                  <c:v>2677</c:v>
                </c:pt>
                <c:pt idx="2">
                  <c:v>2320</c:v>
                </c:pt>
                <c:pt idx="3">
                  <c:v>3052</c:v>
                </c:pt>
                <c:pt idx="4">
                  <c:v>2205</c:v>
                </c:pt>
                <c:pt idx="5">
                  <c:v>2533</c:v>
                </c:pt>
                <c:pt idx="6">
                  <c:v>2570</c:v>
                </c:pt>
                <c:pt idx="7">
                  <c:v>2037</c:v>
                </c:pt>
                <c:pt idx="8">
                  <c:v>2339</c:v>
                </c:pt>
                <c:pt idx="9">
                  <c:v>2642</c:v>
                </c:pt>
                <c:pt idx="10">
                  <c:v>2485</c:v>
                </c:pt>
                <c:pt idx="11">
                  <c:v>2434</c:v>
                </c:pt>
              </c:numCache>
            </c:numRef>
          </c:val>
          <c:smooth val="0"/>
          <c:extLst>
            <c:ext xmlns:c16="http://schemas.microsoft.com/office/drawing/2014/chart" uri="{C3380CC4-5D6E-409C-BE32-E72D297353CC}">
              <c16:uniqueId val="{00000000-A406-4D0E-8AE6-154A778AE5C5}"/>
            </c:ext>
          </c:extLst>
        </c:ser>
        <c:dLbls>
          <c:showLegendKey val="0"/>
          <c:showVal val="0"/>
          <c:showCatName val="0"/>
          <c:showSerName val="0"/>
          <c:showPercent val="0"/>
          <c:showBubbleSize val="0"/>
        </c:dLbls>
        <c:marker val="1"/>
        <c:smooth val="0"/>
        <c:axId val="679453456"/>
        <c:axId val="679451536"/>
      </c:lineChart>
      <c:catAx>
        <c:axId val="67945345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9451536"/>
        <c:crosses val="autoZero"/>
        <c:auto val="1"/>
        <c:lblAlgn val="ctr"/>
        <c:lblOffset val="100"/>
        <c:noMultiLvlLbl val="0"/>
      </c:catAx>
      <c:valAx>
        <c:axId val="679451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Aptos" panose="020B0004020202020204" pitchFamily="34" charset="0"/>
                <a:ea typeface="+mn-ea"/>
                <a:cs typeface="+mn-cs"/>
              </a:defRPr>
            </a:pPr>
            <a:endParaRPr lang="en-US"/>
          </a:p>
        </c:txPr>
        <c:crossAx val="67945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[movie_booking_analysis.xlsx]pivot!PivotTable10</c:name>
    <c:fmtId val="4"/>
  </c:pivotSource>
  <c:chart>
    <c:title>
      <c:tx>
        <c:rich>
          <a:bodyPr rot="0" spcFirstLastPara="1" vertOverflow="ellipsis" vert="horz" wrap="square" anchor="ctr" anchorCtr="1"/>
          <a:lstStyle/>
          <a:p>
            <a:pPr algn="ctr" rtl="0">
              <a:defRPr lang="en-US" sz="1600" b="1" i="0" u="none" strike="noStrike" kern="1200" spc="0" baseline="0">
                <a:solidFill>
                  <a:srgbClr val="1F497D"/>
                </a:solidFill>
                <a:latin typeface="+mn-lt"/>
                <a:ea typeface="+mn-ea"/>
                <a:cs typeface="+mn-cs"/>
              </a:defRPr>
            </a:pPr>
            <a:r>
              <a:rPr lang="en-US" sz="1600" b="1" i="0" u="none" strike="noStrike" kern="1200" spc="0" baseline="0">
                <a:solidFill>
                  <a:srgbClr val="1F497D"/>
                </a:solidFill>
                <a:latin typeface="+mn-lt"/>
                <a:ea typeface="+mn-ea"/>
                <a:cs typeface="+mn-cs"/>
              </a:rPr>
              <a:t>Total Theatre Amount</a:t>
            </a:r>
          </a:p>
        </c:rich>
      </c:tx>
      <c:layout>
        <c:manualLayout>
          <c:xMode val="edge"/>
          <c:yMode val="edge"/>
          <c:x val="1.2735172908080992E-2"/>
          <c:y val="3.7459579786102849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1F497D"/>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155470028158721"/>
          <c:y val="0.19971259106267455"/>
          <c:w val="0.65924884900332004"/>
          <c:h val="0.67470331390011917"/>
        </c:manualLayout>
      </c:layout>
      <c:barChart>
        <c:barDir val="bar"/>
        <c:grouping val="clustered"/>
        <c:varyColors val="0"/>
        <c:ser>
          <c:idx val="0"/>
          <c:order val="0"/>
          <c:tx>
            <c:strRef>
              <c:f>pivot!$B$47</c:f>
              <c:strCache>
                <c:ptCount val="1"/>
                <c:pt idx="0">
                  <c:v>Total</c:v>
                </c:pt>
              </c:strCache>
            </c:strRef>
          </c:tx>
          <c:spPr>
            <a:solidFill>
              <a:schemeClr val="accent1"/>
            </a:solidFill>
            <a:ln>
              <a:noFill/>
            </a:ln>
            <a:effectLst/>
          </c:spPr>
          <c:invertIfNegative val="0"/>
          <c:cat>
            <c:strRef>
              <c:f>pivot!$A$48:$A$58</c:f>
              <c:strCache>
                <c:ptCount val="10"/>
                <c:pt idx="0">
                  <c:v>Cinema Plus Ganjlik Mall</c:v>
                </c:pt>
                <c:pt idx="1">
                  <c:v>Ganja Cinema Center</c:v>
                </c:pt>
                <c:pt idx="2">
                  <c:v>Park Cinema Metro Park</c:v>
                </c:pt>
                <c:pt idx="3">
                  <c:v>Baku City Cinema</c:v>
                </c:pt>
                <c:pt idx="4">
                  <c:v>Shaki Cinema</c:v>
                </c:pt>
                <c:pt idx="5">
                  <c:v>Mingachevir Cinema</c:v>
                </c:pt>
                <c:pt idx="6">
                  <c:v>Sumqayit Cinema</c:v>
                </c:pt>
                <c:pt idx="7">
                  <c:v>Cinema Plus 28 Mall</c:v>
                </c:pt>
                <c:pt idx="8">
                  <c:v>Ganja Mall Cinema</c:v>
                </c:pt>
                <c:pt idx="9">
                  <c:v>Park Cinema Flame Towers</c:v>
                </c:pt>
              </c:strCache>
            </c:strRef>
          </c:cat>
          <c:val>
            <c:numRef>
              <c:f>pivot!$B$48:$B$58</c:f>
              <c:numCache>
                <c:formatCode>General</c:formatCode>
                <c:ptCount val="10"/>
                <c:pt idx="0">
                  <c:v>3490</c:v>
                </c:pt>
                <c:pt idx="1">
                  <c:v>3110</c:v>
                </c:pt>
                <c:pt idx="2">
                  <c:v>3063</c:v>
                </c:pt>
                <c:pt idx="3">
                  <c:v>2974</c:v>
                </c:pt>
                <c:pt idx="4">
                  <c:v>2972</c:v>
                </c:pt>
                <c:pt idx="5">
                  <c:v>2948</c:v>
                </c:pt>
                <c:pt idx="6">
                  <c:v>2933</c:v>
                </c:pt>
                <c:pt idx="7">
                  <c:v>2829</c:v>
                </c:pt>
                <c:pt idx="8">
                  <c:v>2718</c:v>
                </c:pt>
                <c:pt idx="9">
                  <c:v>2639</c:v>
                </c:pt>
              </c:numCache>
            </c:numRef>
          </c:val>
          <c:extLst>
            <c:ext xmlns:c16="http://schemas.microsoft.com/office/drawing/2014/chart" uri="{C3380CC4-5D6E-409C-BE32-E72D297353CC}">
              <c16:uniqueId val="{00000000-6B90-4B96-B03C-CA9513117F10}"/>
            </c:ext>
          </c:extLst>
        </c:ser>
        <c:dLbls>
          <c:showLegendKey val="0"/>
          <c:showVal val="0"/>
          <c:showCatName val="0"/>
          <c:showSerName val="0"/>
          <c:showPercent val="0"/>
          <c:showBubbleSize val="0"/>
        </c:dLbls>
        <c:gapWidth val="182"/>
        <c:axId val="498460432"/>
        <c:axId val="498460912"/>
      </c:barChart>
      <c:catAx>
        <c:axId val="498460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Aptos" panose="020B0004020202020204" pitchFamily="34" charset="0"/>
                <a:ea typeface="+mn-ea"/>
                <a:cs typeface="+mn-cs"/>
              </a:defRPr>
            </a:pPr>
            <a:endParaRPr lang="en-US"/>
          </a:p>
        </c:txPr>
        <c:crossAx val="498460912"/>
        <c:crosses val="autoZero"/>
        <c:auto val="1"/>
        <c:lblAlgn val="ctr"/>
        <c:lblOffset val="100"/>
        <c:noMultiLvlLbl val="0"/>
      </c:catAx>
      <c:valAx>
        <c:axId val="498460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2"/>
                    </a:solidFill>
                    <a:latin typeface="Aptos" panose="020B0004020202020204" pitchFamily="34" charset="0"/>
                    <a:ea typeface="+mn-ea"/>
                    <a:cs typeface="+mn-cs"/>
                  </a:defRPr>
                </a:pPr>
                <a:r>
                  <a:rPr lang="en-US">
                    <a:solidFill>
                      <a:schemeClr val="tx2"/>
                    </a:solidFill>
                    <a:latin typeface="Aptos" panose="020B0004020202020204" pitchFamily="34" charset="0"/>
                  </a:rPr>
                  <a:t>TICKET</a:t>
                </a:r>
                <a:r>
                  <a:rPr lang="en-US" baseline="0">
                    <a:solidFill>
                      <a:schemeClr val="tx2"/>
                    </a:solidFill>
                    <a:latin typeface="Aptos" panose="020B0004020202020204" pitchFamily="34" charset="0"/>
                  </a:rPr>
                  <a:t> AMOUNT</a:t>
                </a:r>
                <a:endParaRPr lang="en-US">
                  <a:solidFill>
                    <a:schemeClr val="tx2"/>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2"/>
                </a:solidFill>
                <a:latin typeface="Aptos" panose="020B0004020202020204" pitchFamily="34" charset="0"/>
                <a:ea typeface="+mn-ea"/>
                <a:cs typeface="+mn-cs"/>
              </a:defRPr>
            </a:pPr>
            <a:endParaRPr lang="en-US"/>
          </a:p>
        </c:txPr>
        <c:crossAx val="49846043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[movie_booking_analysis.xlsx]pivot!PivotTable5</c:name>
    <c:fmtId val="6"/>
  </c:pivotSource>
  <c:chart>
    <c:title>
      <c:tx>
        <c:rich>
          <a:bodyPr rot="0" spcFirstLastPara="1" vertOverflow="ellipsis" vert="horz" wrap="square" anchor="ctr" anchorCtr="1"/>
          <a:lstStyle/>
          <a:p>
            <a:pPr algn="ctr" rtl="0">
              <a:defRPr lang="en-US" sz="1600" b="1" i="0" u="none" strike="noStrike" kern="1200" spc="0" baseline="0">
                <a:solidFill>
                  <a:srgbClr val="1F497D"/>
                </a:solidFill>
                <a:latin typeface="+mn-lt"/>
                <a:ea typeface="+mn-ea"/>
                <a:cs typeface="+mn-cs"/>
              </a:defRPr>
            </a:pPr>
            <a:r>
              <a:rPr lang="en-US" sz="1600" b="1" i="0" u="none" strike="noStrike" kern="1200" spc="0" baseline="0">
                <a:solidFill>
                  <a:srgbClr val="1F497D"/>
                </a:solidFill>
                <a:latin typeface="+mn-lt"/>
                <a:ea typeface="+mn-ea"/>
                <a:cs typeface="+mn-cs"/>
              </a:rPr>
              <a:t>TOTAL BOOKING STATUS </a:t>
            </a:r>
          </a:p>
        </c:rich>
      </c:tx>
      <c:layout>
        <c:manualLayout>
          <c:xMode val="edge"/>
          <c:yMode val="edge"/>
          <c:x val="3.4604185053931945E-2"/>
          <c:y val="6.6554669456724586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1F497D"/>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hade val="76000"/>
            </a:schemeClr>
          </a:solidFill>
          <a:ln w="19050">
            <a:solidFill>
              <a:schemeClr val="lt1"/>
            </a:solidFill>
          </a:ln>
          <a:effectLst/>
        </c:spPr>
        <c:dLbl>
          <c:idx val="0"/>
          <c:layout>
            <c:manualLayout>
              <c:x val="0"/>
              <c:y val="-0.11780420384765226"/>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tint val="77000"/>
            </a:schemeClr>
          </a:solidFill>
          <a:ln w="19050">
            <a:solidFill>
              <a:schemeClr val="lt1"/>
            </a:solidFill>
          </a:ln>
          <a:effectLst/>
        </c:spPr>
        <c:dLbl>
          <c:idx val="0"/>
          <c:layout>
            <c:manualLayout>
              <c:x val="-0.16840918433580379"/>
              <c:y val="6.544677991536236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49274752451211"/>
          <c:y val="0.16732569054090116"/>
          <c:w val="0.62201797881303056"/>
          <c:h val="0.74795579274502855"/>
        </c:manualLayout>
      </c:layout>
      <c:doughnutChart>
        <c:varyColors val="1"/>
        <c:ser>
          <c:idx val="0"/>
          <c:order val="0"/>
          <c:tx>
            <c:strRef>
              <c:f>pivot!$B$16</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CC6A-4375-992C-122AA4F71239}"/>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CC6A-4375-992C-122AA4F71239}"/>
              </c:ext>
            </c:extLst>
          </c:dPt>
          <c:dLbls>
            <c:dLbl>
              <c:idx val="0"/>
              <c:layout>
                <c:manualLayout>
                  <c:x val="0"/>
                  <c:y val="-0.117804203847652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6A-4375-992C-122AA4F71239}"/>
                </c:ext>
              </c:extLst>
            </c:dLbl>
            <c:dLbl>
              <c:idx val="1"/>
              <c:layout>
                <c:manualLayout>
                  <c:x val="-0.16840918433580379"/>
                  <c:y val="6.54467799153623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6A-4375-992C-122AA4F71239}"/>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pivot!$A$17:$A$19</c:f>
              <c:strCache>
                <c:ptCount val="2"/>
                <c:pt idx="0">
                  <c:v>Cancelled</c:v>
                </c:pt>
                <c:pt idx="1">
                  <c:v>Confirmed</c:v>
                </c:pt>
              </c:strCache>
            </c:strRef>
          </c:cat>
          <c:val>
            <c:numRef>
              <c:f>pivot!$B$17:$B$19</c:f>
              <c:numCache>
                <c:formatCode>General</c:formatCode>
                <c:ptCount val="2"/>
                <c:pt idx="0">
                  <c:v>90</c:v>
                </c:pt>
                <c:pt idx="1">
                  <c:v>910</c:v>
                </c:pt>
              </c:numCache>
            </c:numRef>
          </c:val>
          <c:extLst>
            <c:ext xmlns:c16="http://schemas.microsoft.com/office/drawing/2014/chart" uri="{C3380CC4-5D6E-409C-BE32-E72D297353CC}">
              <c16:uniqueId val="{00000004-CC6A-4375-992C-122AA4F7123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2554428898022461"/>
          <c:y val="0.75469180142888825"/>
          <c:w val="0.25689382004662192"/>
          <c:h val="0.18899983695990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[movie_booking_analysis.xlsx]pivot!PivotTable7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1F497D"/>
                </a:solidFill>
              </a:rPr>
              <a:t>Total Movie Amount</a:t>
            </a:r>
          </a:p>
        </c:rich>
      </c:tx>
      <c:layout>
        <c:manualLayout>
          <c:xMode val="edge"/>
          <c:yMode val="edge"/>
          <c:x val="1.8562335958005251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77889966850158"/>
          <c:y val="0.12660472052965918"/>
          <c:w val="0.74265206474235557"/>
          <c:h val="0.77366915306699313"/>
        </c:manualLayout>
      </c:layout>
      <c:barChart>
        <c:barDir val="bar"/>
        <c:grouping val="clustered"/>
        <c:varyColors val="0"/>
        <c:ser>
          <c:idx val="0"/>
          <c:order val="0"/>
          <c:tx>
            <c:strRef>
              <c:f>pivot!$B$71</c:f>
              <c:strCache>
                <c:ptCount val="1"/>
                <c:pt idx="0">
                  <c:v>Total</c:v>
                </c:pt>
              </c:strCache>
            </c:strRef>
          </c:tx>
          <c:spPr>
            <a:solidFill>
              <a:schemeClr val="accent1"/>
            </a:solidFill>
            <a:ln>
              <a:noFill/>
            </a:ln>
            <a:effectLst/>
          </c:spPr>
          <c:invertIfNegative val="0"/>
          <c:cat>
            <c:strRef>
              <c:f>pivot!$A$72:$A$92</c:f>
              <c:strCache>
                <c:ptCount val="20"/>
                <c:pt idx="0">
                  <c:v>Magic Planet</c:v>
                </c:pt>
                <c:pt idx="1">
                  <c:v>The Forgotten Road</c:v>
                </c:pt>
                <c:pt idx="2">
                  <c:v>Shadow Code</c:v>
                </c:pt>
                <c:pt idx="3">
                  <c:v>Summer Story</c:v>
                </c:pt>
                <c:pt idx="4">
                  <c:v>Code 404</c:v>
                </c:pt>
                <c:pt idx="5">
                  <c:v>City Hunters</c:v>
                </c:pt>
                <c:pt idx="6">
                  <c:v>Robot World</c:v>
                </c:pt>
                <c:pt idx="7">
                  <c:v>Midnight Call</c:v>
                </c:pt>
                <c:pt idx="8">
                  <c:v>Ocean Mystery</c:v>
                </c:pt>
                <c:pt idx="9">
                  <c:v>Baku Nights</c:v>
                </c:pt>
                <c:pt idx="10">
                  <c:v>Lost Memories</c:v>
                </c:pt>
                <c:pt idx="11">
                  <c:v>Beyond Mars</c:v>
                </c:pt>
                <c:pt idx="12">
                  <c:v>The Detective</c:v>
                </c:pt>
                <c:pt idx="13">
                  <c:v>Love in Baku</c:v>
                </c:pt>
                <c:pt idx="14">
                  <c:v>Family Weekend</c:v>
                </c:pt>
                <c:pt idx="15">
                  <c:v>The Last Mission</c:v>
                </c:pt>
                <c:pt idx="16">
                  <c:v>Funny Neighbours</c:v>
                </c:pt>
                <c:pt idx="17">
                  <c:v>The Silent House</c:v>
                </c:pt>
                <c:pt idx="18">
                  <c:v>The Last Kingdom</c:v>
                </c:pt>
                <c:pt idx="19">
                  <c:v>Little Stars</c:v>
                </c:pt>
              </c:strCache>
            </c:strRef>
          </c:cat>
          <c:val>
            <c:numRef>
              <c:f>pivot!$B$72:$B$92</c:f>
              <c:numCache>
                <c:formatCode>General</c:formatCode>
                <c:ptCount val="20"/>
                <c:pt idx="0">
                  <c:v>2001</c:v>
                </c:pt>
                <c:pt idx="1">
                  <c:v>1681</c:v>
                </c:pt>
                <c:pt idx="2">
                  <c:v>1664</c:v>
                </c:pt>
                <c:pt idx="3">
                  <c:v>1610</c:v>
                </c:pt>
                <c:pt idx="4">
                  <c:v>1594</c:v>
                </c:pt>
                <c:pt idx="5">
                  <c:v>1565</c:v>
                </c:pt>
                <c:pt idx="6">
                  <c:v>1520</c:v>
                </c:pt>
                <c:pt idx="7">
                  <c:v>1507</c:v>
                </c:pt>
                <c:pt idx="8">
                  <c:v>1498</c:v>
                </c:pt>
                <c:pt idx="9">
                  <c:v>1482</c:v>
                </c:pt>
                <c:pt idx="10">
                  <c:v>1429</c:v>
                </c:pt>
                <c:pt idx="11">
                  <c:v>1404</c:v>
                </c:pt>
                <c:pt idx="12">
                  <c:v>1399</c:v>
                </c:pt>
                <c:pt idx="13">
                  <c:v>1387</c:v>
                </c:pt>
                <c:pt idx="14">
                  <c:v>1361</c:v>
                </c:pt>
                <c:pt idx="15">
                  <c:v>1334</c:v>
                </c:pt>
                <c:pt idx="16">
                  <c:v>1330</c:v>
                </c:pt>
                <c:pt idx="17">
                  <c:v>1316</c:v>
                </c:pt>
                <c:pt idx="18">
                  <c:v>1301</c:v>
                </c:pt>
                <c:pt idx="19">
                  <c:v>1293</c:v>
                </c:pt>
              </c:numCache>
            </c:numRef>
          </c:val>
          <c:extLst>
            <c:ext xmlns:c16="http://schemas.microsoft.com/office/drawing/2014/chart" uri="{C3380CC4-5D6E-409C-BE32-E72D297353CC}">
              <c16:uniqueId val="{00000000-D3FB-423A-A166-CB48AB990DB6}"/>
            </c:ext>
          </c:extLst>
        </c:ser>
        <c:dLbls>
          <c:showLegendKey val="0"/>
          <c:showVal val="0"/>
          <c:showCatName val="0"/>
          <c:showSerName val="0"/>
          <c:showPercent val="0"/>
          <c:showBubbleSize val="0"/>
        </c:dLbls>
        <c:gapWidth val="182"/>
        <c:axId val="720957791"/>
        <c:axId val="720951071"/>
      </c:barChart>
      <c:catAx>
        <c:axId val="720957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Aptos" panose="020B0004020202020204" pitchFamily="34" charset="0"/>
                <a:ea typeface="+mn-ea"/>
                <a:cs typeface="+mn-cs"/>
              </a:defRPr>
            </a:pPr>
            <a:endParaRPr lang="en-US"/>
          </a:p>
        </c:txPr>
        <c:crossAx val="720951071"/>
        <c:crosses val="autoZero"/>
        <c:auto val="1"/>
        <c:lblAlgn val="ctr"/>
        <c:lblOffset val="100"/>
        <c:noMultiLvlLbl val="0"/>
      </c:catAx>
      <c:valAx>
        <c:axId val="7209510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Aptos" panose="020B0004020202020204" pitchFamily="34" charset="0"/>
                <a:ea typeface="+mn-ea"/>
                <a:cs typeface="+mn-cs"/>
              </a:defRPr>
            </a:pPr>
            <a:endParaRPr lang="en-US"/>
          </a:p>
        </c:txPr>
        <c:crossAx val="72095779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weekday</c:v>
          </c:tx>
          <c:spPr>
            <a:solidFill>
              <a:schemeClr val="accent1">
                <a:shade val="76000"/>
              </a:schemeClr>
            </a:solidFill>
            <a:ln>
              <a:noFill/>
            </a:ln>
            <a:effectLst/>
          </c:spPr>
          <c:invertIfNegative val="0"/>
          <c:cat>
            <c:strLit>
              <c:ptCount val="5"/>
              <c:pt idx="0">
                <c:v>Magic Planet</c:v>
              </c:pt>
              <c:pt idx="1">
                <c:v>The Forgotten Road</c:v>
              </c:pt>
              <c:pt idx="2">
                <c:v>Shadow Code</c:v>
              </c:pt>
              <c:pt idx="3">
                <c:v>Summer Story</c:v>
              </c:pt>
              <c:pt idx="4">
                <c:v>Code 404</c:v>
              </c:pt>
            </c:strLit>
          </c:cat>
          <c:val>
            <c:numLit>
              <c:formatCode>General</c:formatCode>
              <c:ptCount val="5"/>
              <c:pt idx="0">
                <c:v>1056</c:v>
              </c:pt>
              <c:pt idx="1">
                <c:v>1126</c:v>
              </c:pt>
              <c:pt idx="2">
                <c:v>1015</c:v>
              </c:pt>
              <c:pt idx="3">
                <c:v>1098</c:v>
              </c:pt>
              <c:pt idx="4">
                <c:v>1092</c:v>
              </c:pt>
            </c:numLit>
          </c:val>
          <c:extLst>
            <c:ext xmlns:c16="http://schemas.microsoft.com/office/drawing/2014/chart" uri="{C3380CC4-5D6E-409C-BE32-E72D297353CC}">
              <c16:uniqueId val="{00000000-E4C9-4D46-90B0-6B9B3E790EC9}"/>
            </c:ext>
          </c:extLst>
        </c:ser>
        <c:ser>
          <c:idx val="1"/>
          <c:order val="1"/>
          <c:tx>
            <c:v>Weekend</c:v>
          </c:tx>
          <c:spPr>
            <a:solidFill>
              <a:schemeClr val="accent1">
                <a:tint val="77000"/>
              </a:schemeClr>
            </a:solidFill>
            <a:ln>
              <a:noFill/>
            </a:ln>
            <a:effectLst/>
          </c:spPr>
          <c:invertIfNegative val="0"/>
          <c:cat>
            <c:strLit>
              <c:ptCount val="5"/>
              <c:pt idx="0">
                <c:v>Magic Planet</c:v>
              </c:pt>
              <c:pt idx="1">
                <c:v>The Forgotten Road</c:v>
              </c:pt>
              <c:pt idx="2">
                <c:v>Shadow Code</c:v>
              </c:pt>
              <c:pt idx="3">
                <c:v>Summer Story</c:v>
              </c:pt>
              <c:pt idx="4">
                <c:v>Code 404</c:v>
              </c:pt>
            </c:strLit>
          </c:cat>
          <c:val>
            <c:numLit>
              <c:formatCode>General</c:formatCode>
              <c:ptCount val="5"/>
              <c:pt idx="0">
                <c:v>945</c:v>
              </c:pt>
              <c:pt idx="1">
                <c:v>555</c:v>
              </c:pt>
              <c:pt idx="2">
                <c:v>649</c:v>
              </c:pt>
              <c:pt idx="3">
                <c:v>512</c:v>
              </c:pt>
              <c:pt idx="4">
                <c:v>502</c:v>
              </c:pt>
            </c:numLit>
          </c:val>
          <c:extLst>
            <c:ext xmlns:c16="http://schemas.microsoft.com/office/drawing/2014/chart" uri="{C3380CC4-5D6E-409C-BE32-E72D297353CC}">
              <c16:uniqueId val="{00000001-E4C9-4D46-90B0-6B9B3E790EC9}"/>
            </c:ext>
          </c:extLst>
        </c:ser>
        <c:dLbls>
          <c:showLegendKey val="0"/>
          <c:showVal val="0"/>
          <c:showCatName val="0"/>
          <c:showSerName val="0"/>
          <c:showPercent val="0"/>
          <c:showBubbleSize val="0"/>
        </c:dLbls>
        <c:gapWidth val="219"/>
        <c:overlap val="-27"/>
        <c:axId val="1025732479"/>
        <c:axId val="1025744959"/>
      </c:barChart>
      <c:catAx>
        <c:axId val="102573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Aptos" panose="020B0004020202020204" pitchFamily="34" charset="0"/>
                <a:ea typeface="+mn-ea"/>
                <a:cs typeface="+mn-cs"/>
              </a:defRPr>
            </a:pPr>
            <a:endParaRPr lang="en-US"/>
          </a:p>
        </c:txPr>
        <c:crossAx val="1025744959"/>
        <c:crosses val="autoZero"/>
        <c:auto val="1"/>
        <c:lblAlgn val="ctr"/>
        <c:lblOffset val="100"/>
        <c:noMultiLvlLbl val="0"/>
      </c:catAx>
      <c:valAx>
        <c:axId val="1025744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2"/>
                </a:solidFill>
                <a:latin typeface="Aptos" panose="020B0004020202020204" pitchFamily="34" charset="0"/>
                <a:ea typeface="+mn-ea"/>
                <a:cs typeface="+mn-cs"/>
              </a:defRPr>
            </a:pPr>
            <a:endParaRPr lang="en-US"/>
          </a:p>
        </c:txPr>
        <c:crossAx val="102573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0">
          <a:latin typeface="Aptos" panose="020B0004020202020204" pitchFamily="34" charset="0"/>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[movie_booking_analysis.xlsx]pivotM!PivotTable21</c:name>
    <c:fmtId val="4"/>
  </c:pivotSource>
  <c:chart>
    <c:title>
      <c:tx>
        <c:rich>
          <a:bodyPr rot="0" spcFirstLastPara="1" vertOverflow="ellipsis" vert="horz" wrap="square" anchor="ctr" anchorCtr="1"/>
          <a:lstStyle/>
          <a:p>
            <a:pPr>
              <a:defRPr sz="1400" b="1" i="0" u="none" strike="noStrike" kern="1200" spc="0" baseline="0">
                <a:solidFill>
                  <a:schemeClr val="tx2"/>
                </a:solidFill>
                <a:latin typeface="Aptos" panose="020B0004020202020204" pitchFamily="34" charset="0"/>
                <a:ea typeface="+mn-ea"/>
                <a:cs typeface="+mn-cs"/>
              </a:defRPr>
            </a:pPr>
            <a:r>
              <a:rPr lang="en-US" b="1">
                <a:solidFill>
                  <a:schemeClr val="tx2"/>
                </a:solidFill>
                <a:latin typeface="Aptos" panose="020B0004020202020204" pitchFamily="34" charset="0"/>
              </a:rPr>
              <a:t>BOOKINGS</a:t>
            </a:r>
            <a:r>
              <a:rPr lang="en-US" b="1" baseline="0">
                <a:solidFill>
                  <a:schemeClr val="tx2"/>
                </a:solidFill>
                <a:latin typeface="Aptos" panose="020B0004020202020204" pitchFamily="34" charset="0"/>
              </a:rPr>
              <a:t> BY THEATRE &amp; MOVIE</a:t>
            </a:r>
          </a:p>
        </c:rich>
      </c:tx>
      <c:layout>
        <c:manualLayout>
          <c:xMode val="edge"/>
          <c:yMode val="edge"/>
          <c:x val="1.4015566167833405E-2"/>
          <c:y val="5.115757592668220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155036584561445"/>
          <c:y val="0.15107462921297013"/>
          <c:w val="0.56093376475933909"/>
          <c:h val="0.78631378818247555"/>
        </c:manualLayout>
      </c:layout>
      <c:barChart>
        <c:barDir val="bar"/>
        <c:grouping val="stacked"/>
        <c:varyColors val="0"/>
        <c:ser>
          <c:idx val="0"/>
          <c:order val="0"/>
          <c:tx>
            <c:strRef>
              <c:f>pivotM!$B$88:$B$89</c:f>
              <c:strCache>
                <c:ptCount val="1"/>
                <c:pt idx="0">
                  <c:v>Baku Nights</c:v>
                </c:pt>
              </c:strCache>
            </c:strRef>
          </c:tx>
          <c:spPr>
            <a:solidFill>
              <a:schemeClr val="accent1">
                <a:shade val="36000"/>
              </a:schemeClr>
            </a:solidFill>
            <a:ln>
              <a:noFill/>
            </a:ln>
            <a:effectLst/>
          </c:spPr>
          <c:invertIfNegative val="0"/>
          <c:cat>
            <c:strRef>
              <c:f>pivotM!$A$90:$A$100</c:f>
              <c:strCache>
                <c:ptCount val="10"/>
                <c:pt idx="0">
                  <c:v>Ganja Cinema Center</c:v>
                </c:pt>
                <c:pt idx="1">
                  <c:v>Cinema Plus Ganjlik Mall</c:v>
                </c:pt>
                <c:pt idx="2">
                  <c:v>Mingachevir Cinema</c:v>
                </c:pt>
                <c:pt idx="3">
                  <c:v>Park Cinema Metro Park</c:v>
                </c:pt>
                <c:pt idx="4">
                  <c:v>Shaki Cinema</c:v>
                </c:pt>
                <c:pt idx="5">
                  <c:v>Sumqayit Cinema</c:v>
                </c:pt>
                <c:pt idx="6">
                  <c:v>Baku City Cinema</c:v>
                </c:pt>
                <c:pt idx="7">
                  <c:v>Cinema Plus 28 Mall</c:v>
                </c:pt>
                <c:pt idx="8">
                  <c:v>Ganja Mall Cinema</c:v>
                </c:pt>
                <c:pt idx="9">
                  <c:v>Park Cinema Flame Towers</c:v>
                </c:pt>
              </c:strCache>
            </c:strRef>
          </c:cat>
          <c:val>
            <c:numRef>
              <c:f>pivotM!$B$90:$B$100</c:f>
              <c:numCache>
                <c:formatCode>0.00</c:formatCode>
                <c:ptCount val="10"/>
                <c:pt idx="0">
                  <c:v>3</c:v>
                </c:pt>
                <c:pt idx="1">
                  <c:v>7</c:v>
                </c:pt>
                <c:pt idx="2">
                  <c:v>6</c:v>
                </c:pt>
                <c:pt idx="3">
                  <c:v>3</c:v>
                </c:pt>
                <c:pt idx="4">
                  <c:v>10</c:v>
                </c:pt>
                <c:pt idx="5">
                  <c:v>3</c:v>
                </c:pt>
                <c:pt idx="6">
                  <c:v>1</c:v>
                </c:pt>
                <c:pt idx="7">
                  <c:v>6</c:v>
                </c:pt>
                <c:pt idx="8">
                  <c:v>7</c:v>
                </c:pt>
                <c:pt idx="9">
                  <c:v>7</c:v>
                </c:pt>
              </c:numCache>
            </c:numRef>
          </c:val>
          <c:extLst>
            <c:ext xmlns:c16="http://schemas.microsoft.com/office/drawing/2014/chart" uri="{C3380CC4-5D6E-409C-BE32-E72D297353CC}">
              <c16:uniqueId val="{00000000-2447-437A-8147-5BA3E101E456}"/>
            </c:ext>
          </c:extLst>
        </c:ser>
        <c:ser>
          <c:idx val="1"/>
          <c:order val="1"/>
          <c:tx>
            <c:strRef>
              <c:f>pivotM!$C$88:$C$89</c:f>
              <c:strCache>
                <c:ptCount val="1"/>
                <c:pt idx="0">
                  <c:v>Beyond Mars</c:v>
                </c:pt>
              </c:strCache>
            </c:strRef>
          </c:tx>
          <c:spPr>
            <a:solidFill>
              <a:schemeClr val="accent1">
                <a:shade val="43000"/>
              </a:schemeClr>
            </a:solidFill>
            <a:ln>
              <a:noFill/>
            </a:ln>
            <a:effectLst/>
          </c:spPr>
          <c:invertIfNegative val="0"/>
          <c:cat>
            <c:strRef>
              <c:f>pivotM!$A$90:$A$100</c:f>
              <c:strCache>
                <c:ptCount val="10"/>
                <c:pt idx="0">
                  <c:v>Ganja Cinema Center</c:v>
                </c:pt>
                <c:pt idx="1">
                  <c:v>Cinema Plus Ganjlik Mall</c:v>
                </c:pt>
                <c:pt idx="2">
                  <c:v>Mingachevir Cinema</c:v>
                </c:pt>
                <c:pt idx="3">
                  <c:v>Park Cinema Metro Park</c:v>
                </c:pt>
                <c:pt idx="4">
                  <c:v>Shaki Cinema</c:v>
                </c:pt>
                <c:pt idx="5">
                  <c:v>Sumqayit Cinema</c:v>
                </c:pt>
                <c:pt idx="6">
                  <c:v>Baku City Cinema</c:v>
                </c:pt>
                <c:pt idx="7">
                  <c:v>Cinema Plus 28 Mall</c:v>
                </c:pt>
                <c:pt idx="8">
                  <c:v>Ganja Mall Cinema</c:v>
                </c:pt>
                <c:pt idx="9">
                  <c:v>Park Cinema Flame Towers</c:v>
                </c:pt>
              </c:strCache>
            </c:strRef>
          </c:cat>
          <c:val>
            <c:numRef>
              <c:f>pivotM!$C$90:$C$100</c:f>
              <c:numCache>
                <c:formatCode>0.00</c:formatCode>
                <c:ptCount val="10"/>
                <c:pt idx="0">
                  <c:v>8</c:v>
                </c:pt>
                <c:pt idx="1">
                  <c:v>5</c:v>
                </c:pt>
                <c:pt idx="2">
                  <c:v>3</c:v>
                </c:pt>
                <c:pt idx="3">
                  <c:v>4</c:v>
                </c:pt>
                <c:pt idx="4">
                  <c:v>3</c:v>
                </c:pt>
                <c:pt idx="5">
                  <c:v>6</c:v>
                </c:pt>
                <c:pt idx="6">
                  <c:v>10</c:v>
                </c:pt>
                <c:pt idx="7">
                  <c:v>6</c:v>
                </c:pt>
                <c:pt idx="8">
                  <c:v>5</c:v>
                </c:pt>
                <c:pt idx="9">
                  <c:v>0</c:v>
                </c:pt>
              </c:numCache>
            </c:numRef>
          </c:val>
          <c:extLst>
            <c:ext xmlns:c16="http://schemas.microsoft.com/office/drawing/2014/chart" uri="{C3380CC4-5D6E-409C-BE32-E72D297353CC}">
              <c16:uniqueId val="{0000006D-A6FF-4F68-8807-26A4930C8A30}"/>
            </c:ext>
          </c:extLst>
        </c:ser>
        <c:ser>
          <c:idx val="2"/>
          <c:order val="2"/>
          <c:tx>
            <c:strRef>
              <c:f>pivotM!$D$88:$D$89</c:f>
              <c:strCache>
                <c:ptCount val="1"/>
                <c:pt idx="0">
                  <c:v>City Hunters</c:v>
                </c:pt>
              </c:strCache>
            </c:strRef>
          </c:tx>
          <c:spPr>
            <a:solidFill>
              <a:schemeClr val="accent1">
                <a:shade val="50000"/>
              </a:schemeClr>
            </a:solidFill>
            <a:ln>
              <a:noFill/>
            </a:ln>
            <a:effectLst/>
          </c:spPr>
          <c:invertIfNegative val="0"/>
          <c:cat>
            <c:strRef>
              <c:f>pivotM!$A$90:$A$100</c:f>
              <c:strCache>
                <c:ptCount val="10"/>
                <c:pt idx="0">
                  <c:v>Ganja Cinema Center</c:v>
                </c:pt>
                <c:pt idx="1">
                  <c:v>Cinema Plus Ganjlik Mall</c:v>
                </c:pt>
                <c:pt idx="2">
                  <c:v>Mingachevir Cinema</c:v>
                </c:pt>
                <c:pt idx="3">
                  <c:v>Park Cinema Metro Park</c:v>
                </c:pt>
                <c:pt idx="4">
                  <c:v>Shaki Cinema</c:v>
                </c:pt>
                <c:pt idx="5">
                  <c:v>Sumqayit Cinema</c:v>
                </c:pt>
                <c:pt idx="6">
                  <c:v>Baku City Cinema</c:v>
                </c:pt>
                <c:pt idx="7">
                  <c:v>Cinema Plus 28 Mall</c:v>
                </c:pt>
                <c:pt idx="8">
                  <c:v>Ganja Mall Cinema</c:v>
                </c:pt>
                <c:pt idx="9">
                  <c:v>Park Cinema Flame Towers</c:v>
                </c:pt>
              </c:strCache>
            </c:strRef>
          </c:cat>
          <c:val>
            <c:numRef>
              <c:f>pivotM!$D$90:$D$100</c:f>
              <c:numCache>
                <c:formatCode>0.00</c:formatCode>
                <c:ptCount val="10"/>
                <c:pt idx="0">
                  <c:v>3</c:v>
                </c:pt>
                <c:pt idx="1">
                  <c:v>3</c:v>
                </c:pt>
                <c:pt idx="2">
                  <c:v>6</c:v>
                </c:pt>
                <c:pt idx="3">
                  <c:v>8</c:v>
                </c:pt>
                <c:pt idx="4">
                  <c:v>8</c:v>
                </c:pt>
                <c:pt idx="5">
                  <c:v>7</c:v>
                </c:pt>
                <c:pt idx="6">
                  <c:v>7</c:v>
                </c:pt>
                <c:pt idx="7">
                  <c:v>5</c:v>
                </c:pt>
                <c:pt idx="8">
                  <c:v>3</c:v>
                </c:pt>
                <c:pt idx="9">
                  <c:v>6</c:v>
                </c:pt>
              </c:numCache>
            </c:numRef>
          </c:val>
          <c:extLst>
            <c:ext xmlns:c16="http://schemas.microsoft.com/office/drawing/2014/chart" uri="{C3380CC4-5D6E-409C-BE32-E72D297353CC}">
              <c16:uniqueId val="{0000006E-A6FF-4F68-8807-26A4930C8A30}"/>
            </c:ext>
          </c:extLst>
        </c:ser>
        <c:ser>
          <c:idx val="3"/>
          <c:order val="3"/>
          <c:tx>
            <c:strRef>
              <c:f>pivotM!$E$88:$E$89</c:f>
              <c:strCache>
                <c:ptCount val="1"/>
                <c:pt idx="0">
                  <c:v>Code 404</c:v>
                </c:pt>
              </c:strCache>
            </c:strRef>
          </c:tx>
          <c:spPr>
            <a:solidFill>
              <a:schemeClr val="accent1">
                <a:shade val="56000"/>
              </a:schemeClr>
            </a:solidFill>
            <a:ln>
              <a:noFill/>
            </a:ln>
            <a:effectLst/>
          </c:spPr>
          <c:invertIfNegative val="0"/>
          <c:cat>
            <c:strRef>
              <c:f>pivotM!$A$90:$A$100</c:f>
              <c:strCache>
                <c:ptCount val="10"/>
                <c:pt idx="0">
                  <c:v>Ganja Cinema Center</c:v>
                </c:pt>
                <c:pt idx="1">
                  <c:v>Cinema Plus Ganjlik Mall</c:v>
                </c:pt>
                <c:pt idx="2">
                  <c:v>Mingachevir Cinema</c:v>
                </c:pt>
                <c:pt idx="3">
                  <c:v>Park Cinema Metro Park</c:v>
                </c:pt>
                <c:pt idx="4">
                  <c:v>Shaki Cinema</c:v>
                </c:pt>
                <c:pt idx="5">
                  <c:v>Sumqayit Cinema</c:v>
                </c:pt>
                <c:pt idx="6">
                  <c:v>Baku City Cinema</c:v>
                </c:pt>
                <c:pt idx="7">
                  <c:v>Cinema Plus 28 Mall</c:v>
                </c:pt>
                <c:pt idx="8">
                  <c:v>Ganja Mall Cinema</c:v>
                </c:pt>
                <c:pt idx="9">
                  <c:v>Park Cinema Flame Towers</c:v>
                </c:pt>
              </c:strCache>
            </c:strRef>
          </c:cat>
          <c:val>
            <c:numRef>
              <c:f>pivotM!$E$90:$E$100</c:f>
              <c:numCache>
                <c:formatCode>0.00</c:formatCode>
                <c:ptCount val="10"/>
                <c:pt idx="0">
                  <c:v>9</c:v>
                </c:pt>
                <c:pt idx="1">
                  <c:v>10</c:v>
                </c:pt>
                <c:pt idx="2">
                  <c:v>3</c:v>
                </c:pt>
                <c:pt idx="3">
                  <c:v>4</c:v>
                </c:pt>
                <c:pt idx="4">
                  <c:v>4</c:v>
                </c:pt>
                <c:pt idx="5">
                  <c:v>2</c:v>
                </c:pt>
                <c:pt idx="6">
                  <c:v>2</c:v>
                </c:pt>
                <c:pt idx="7">
                  <c:v>4</c:v>
                </c:pt>
                <c:pt idx="8">
                  <c:v>5</c:v>
                </c:pt>
                <c:pt idx="9">
                  <c:v>8</c:v>
                </c:pt>
              </c:numCache>
            </c:numRef>
          </c:val>
          <c:extLst>
            <c:ext xmlns:c16="http://schemas.microsoft.com/office/drawing/2014/chart" uri="{C3380CC4-5D6E-409C-BE32-E72D297353CC}">
              <c16:uniqueId val="{0000006F-A6FF-4F68-8807-26A4930C8A30}"/>
            </c:ext>
          </c:extLst>
        </c:ser>
        <c:ser>
          <c:idx val="4"/>
          <c:order val="4"/>
          <c:tx>
            <c:strRef>
              <c:f>pivotM!$F$88:$F$89</c:f>
              <c:strCache>
                <c:ptCount val="1"/>
                <c:pt idx="0">
                  <c:v>Family Weekend</c:v>
                </c:pt>
              </c:strCache>
            </c:strRef>
          </c:tx>
          <c:spPr>
            <a:solidFill>
              <a:schemeClr val="accent1">
                <a:shade val="63000"/>
              </a:schemeClr>
            </a:solidFill>
            <a:ln>
              <a:noFill/>
            </a:ln>
            <a:effectLst/>
          </c:spPr>
          <c:invertIfNegative val="0"/>
          <c:cat>
            <c:strRef>
              <c:f>pivotM!$A$90:$A$100</c:f>
              <c:strCache>
                <c:ptCount val="10"/>
                <c:pt idx="0">
                  <c:v>Ganja Cinema Center</c:v>
                </c:pt>
                <c:pt idx="1">
                  <c:v>Cinema Plus Ganjlik Mall</c:v>
                </c:pt>
                <c:pt idx="2">
                  <c:v>Mingachevir Cinema</c:v>
                </c:pt>
                <c:pt idx="3">
                  <c:v>Park Cinema Metro Park</c:v>
                </c:pt>
                <c:pt idx="4">
                  <c:v>Shaki Cinema</c:v>
                </c:pt>
                <c:pt idx="5">
                  <c:v>Sumqayit Cinema</c:v>
                </c:pt>
                <c:pt idx="6">
                  <c:v>Baku City Cinema</c:v>
                </c:pt>
                <c:pt idx="7">
                  <c:v>Cinema Plus 28 Mall</c:v>
                </c:pt>
                <c:pt idx="8">
                  <c:v>Ganja Mall Cinema</c:v>
                </c:pt>
                <c:pt idx="9">
                  <c:v>Park Cinema Flame Towers</c:v>
                </c:pt>
              </c:strCache>
            </c:strRef>
          </c:cat>
          <c:val>
            <c:numRef>
              <c:f>pivotM!$F$90:$F$100</c:f>
              <c:numCache>
                <c:formatCode>0.00</c:formatCode>
                <c:ptCount val="10"/>
                <c:pt idx="0">
                  <c:v>5</c:v>
                </c:pt>
                <c:pt idx="1">
                  <c:v>8</c:v>
                </c:pt>
                <c:pt idx="2">
                  <c:v>2</c:v>
                </c:pt>
                <c:pt idx="3">
                  <c:v>6</c:v>
                </c:pt>
                <c:pt idx="4">
                  <c:v>4</c:v>
                </c:pt>
                <c:pt idx="5">
                  <c:v>4</c:v>
                </c:pt>
                <c:pt idx="6">
                  <c:v>4</c:v>
                </c:pt>
                <c:pt idx="7">
                  <c:v>5</c:v>
                </c:pt>
                <c:pt idx="8">
                  <c:v>5</c:v>
                </c:pt>
                <c:pt idx="9">
                  <c:v>7</c:v>
                </c:pt>
              </c:numCache>
            </c:numRef>
          </c:val>
          <c:extLst>
            <c:ext xmlns:c16="http://schemas.microsoft.com/office/drawing/2014/chart" uri="{C3380CC4-5D6E-409C-BE32-E72D297353CC}">
              <c16:uniqueId val="{00000070-A6FF-4F68-8807-26A4930C8A30}"/>
            </c:ext>
          </c:extLst>
        </c:ser>
        <c:ser>
          <c:idx val="5"/>
          <c:order val="5"/>
          <c:tx>
            <c:strRef>
              <c:f>pivotM!$G$88:$G$89</c:f>
              <c:strCache>
                <c:ptCount val="1"/>
                <c:pt idx="0">
                  <c:v>Funny Neighbours</c:v>
                </c:pt>
              </c:strCache>
            </c:strRef>
          </c:tx>
          <c:spPr>
            <a:solidFill>
              <a:schemeClr val="accent1">
                <a:shade val="70000"/>
              </a:schemeClr>
            </a:solidFill>
            <a:ln>
              <a:noFill/>
            </a:ln>
            <a:effectLst/>
          </c:spPr>
          <c:invertIfNegative val="0"/>
          <c:cat>
            <c:strRef>
              <c:f>pivotM!$A$90:$A$100</c:f>
              <c:strCache>
                <c:ptCount val="10"/>
                <c:pt idx="0">
                  <c:v>Ganja Cinema Center</c:v>
                </c:pt>
                <c:pt idx="1">
                  <c:v>Cinema Plus Ganjlik Mall</c:v>
                </c:pt>
                <c:pt idx="2">
                  <c:v>Mingachevir Cinema</c:v>
                </c:pt>
                <c:pt idx="3">
                  <c:v>Park Cinema Metro Park</c:v>
                </c:pt>
                <c:pt idx="4">
                  <c:v>Shaki Cinema</c:v>
                </c:pt>
                <c:pt idx="5">
                  <c:v>Sumqayit Cinema</c:v>
                </c:pt>
                <c:pt idx="6">
                  <c:v>Baku City Cinema</c:v>
                </c:pt>
                <c:pt idx="7">
                  <c:v>Cinema Plus 28 Mall</c:v>
                </c:pt>
                <c:pt idx="8">
                  <c:v>Ganja Mall Cinema</c:v>
                </c:pt>
                <c:pt idx="9">
                  <c:v>Park Cinema Flame Towers</c:v>
                </c:pt>
              </c:strCache>
            </c:strRef>
          </c:cat>
          <c:val>
            <c:numRef>
              <c:f>pivotM!$G$90:$G$100</c:f>
              <c:numCache>
                <c:formatCode>0.00</c:formatCode>
                <c:ptCount val="10"/>
                <c:pt idx="0">
                  <c:v>5</c:v>
                </c:pt>
                <c:pt idx="1">
                  <c:v>1</c:v>
                </c:pt>
                <c:pt idx="2">
                  <c:v>9</c:v>
                </c:pt>
                <c:pt idx="3">
                  <c:v>8</c:v>
                </c:pt>
                <c:pt idx="4">
                  <c:v>5</c:v>
                </c:pt>
                <c:pt idx="5">
                  <c:v>8</c:v>
                </c:pt>
                <c:pt idx="6">
                  <c:v>2</c:v>
                </c:pt>
                <c:pt idx="7">
                  <c:v>2</c:v>
                </c:pt>
                <c:pt idx="8">
                  <c:v>3</c:v>
                </c:pt>
                <c:pt idx="9">
                  <c:v>2</c:v>
                </c:pt>
              </c:numCache>
            </c:numRef>
          </c:val>
          <c:extLst>
            <c:ext xmlns:c16="http://schemas.microsoft.com/office/drawing/2014/chart" uri="{C3380CC4-5D6E-409C-BE32-E72D297353CC}">
              <c16:uniqueId val="{00000071-A6FF-4F68-8807-26A4930C8A30}"/>
            </c:ext>
          </c:extLst>
        </c:ser>
        <c:ser>
          <c:idx val="6"/>
          <c:order val="6"/>
          <c:tx>
            <c:strRef>
              <c:f>pivotM!$H$88:$H$89</c:f>
              <c:strCache>
                <c:ptCount val="1"/>
                <c:pt idx="0">
                  <c:v>Little Stars</c:v>
                </c:pt>
              </c:strCache>
            </c:strRef>
          </c:tx>
          <c:spPr>
            <a:solidFill>
              <a:schemeClr val="accent1">
                <a:shade val="76000"/>
              </a:schemeClr>
            </a:solidFill>
            <a:ln>
              <a:noFill/>
            </a:ln>
            <a:effectLst/>
          </c:spPr>
          <c:invertIfNegative val="0"/>
          <c:cat>
            <c:strRef>
              <c:f>pivotM!$A$90:$A$100</c:f>
              <c:strCache>
                <c:ptCount val="10"/>
                <c:pt idx="0">
                  <c:v>Ganja Cinema Center</c:v>
                </c:pt>
                <c:pt idx="1">
                  <c:v>Cinema Plus Ganjlik Mall</c:v>
                </c:pt>
                <c:pt idx="2">
                  <c:v>Mingachevir Cinema</c:v>
                </c:pt>
                <c:pt idx="3">
                  <c:v>Park Cinema Metro Park</c:v>
                </c:pt>
                <c:pt idx="4">
                  <c:v>Shaki Cinema</c:v>
                </c:pt>
                <c:pt idx="5">
                  <c:v>Sumqayit Cinema</c:v>
                </c:pt>
                <c:pt idx="6">
                  <c:v>Baku City Cinema</c:v>
                </c:pt>
                <c:pt idx="7">
                  <c:v>Cinema Plus 28 Mall</c:v>
                </c:pt>
                <c:pt idx="8">
                  <c:v>Ganja Mall Cinema</c:v>
                </c:pt>
                <c:pt idx="9">
                  <c:v>Park Cinema Flame Towers</c:v>
                </c:pt>
              </c:strCache>
            </c:strRef>
          </c:cat>
          <c:val>
            <c:numRef>
              <c:f>pivotM!$H$90:$H$100</c:f>
              <c:numCache>
                <c:formatCode>0.00</c:formatCode>
                <c:ptCount val="10"/>
                <c:pt idx="0">
                  <c:v>5</c:v>
                </c:pt>
                <c:pt idx="1">
                  <c:v>3</c:v>
                </c:pt>
                <c:pt idx="2">
                  <c:v>7</c:v>
                </c:pt>
                <c:pt idx="3">
                  <c:v>3</c:v>
                </c:pt>
                <c:pt idx="4">
                  <c:v>2</c:v>
                </c:pt>
                <c:pt idx="5">
                  <c:v>5</c:v>
                </c:pt>
                <c:pt idx="6">
                  <c:v>6</c:v>
                </c:pt>
                <c:pt idx="7">
                  <c:v>4</c:v>
                </c:pt>
                <c:pt idx="8">
                  <c:v>4</c:v>
                </c:pt>
                <c:pt idx="9">
                  <c:v>10</c:v>
                </c:pt>
              </c:numCache>
            </c:numRef>
          </c:val>
          <c:extLst>
            <c:ext xmlns:c16="http://schemas.microsoft.com/office/drawing/2014/chart" uri="{C3380CC4-5D6E-409C-BE32-E72D297353CC}">
              <c16:uniqueId val="{00000072-A6FF-4F68-8807-26A4930C8A30}"/>
            </c:ext>
          </c:extLst>
        </c:ser>
        <c:ser>
          <c:idx val="7"/>
          <c:order val="7"/>
          <c:tx>
            <c:strRef>
              <c:f>pivotM!$I$88:$I$89</c:f>
              <c:strCache>
                <c:ptCount val="1"/>
                <c:pt idx="0">
                  <c:v>Lost Memories</c:v>
                </c:pt>
              </c:strCache>
            </c:strRef>
          </c:tx>
          <c:spPr>
            <a:solidFill>
              <a:schemeClr val="accent1">
                <a:shade val="83000"/>
              </a:schemeClr>
            </a:solidFill>
            <a:ln>
              <a:noFill/>
            </a:ln>
            <a:effectLst/>
          </c:spPr>
          <c:invertIfNegative val="0"/>
          <c:cat>
            <c:strRef>
              <c:f>pivotM!$A$90:$A$100</c:f>
              <c:strCache>
                <c:ptCount val="10"/>
                <c:pt idx="0">
                  <c:v>Ganja Cinema Center</c:v>
                </c:pt>
                <c:pt idx="1">
                  <c:v>Cinema Plus Ganjlik Mall</c:v>
                </c:pt>
                <c:pt idx="2">
                  <c:v>Mingachevir Cinema</c:v>
                </c:pt>
                <c:pt idx="3">
                  <c:v>Park Cinema Metro Park</c:v>
                </c:pt>
                <c:pt idx="4">
                  <c:v>Shaki Cinema</c:v>
                </c:pt>
                <c:pt idx="5">
                  <c:v>Sumqayit Cinema</c:v>
                </c:pt>
                <c:pt idx="6">
                  <c:v>Baku City Cinema</c:v>
                </c:pt>
                <c:pt idx="7">
                  <c:v>Cinema Plus 28 Mall</c:v>
                </c:pt>
                <c:pt idx="8">
                  <c:v>Ganja Mall Cinema</c:v>
                </c:pt>
                <c:pt idx="9">
                  <c:v>Park Cinema Flame Towers</c:v>
                </c:pt>
              </c:strCache>
            </c:strRef>
          </c:cat>
          <c:val>
            <c:numRef>
              <c:f>pivotM!$I$90:$I$100</c:f>
              <c:numCache>
                <c:formatCode>0.00</c:formatCode>
                <c:ptCount val="10"/>
                <c:pt idx="0">
                  <c:v>7</c:v>
                </c:pt>
                <c:pt idx="1">
                  <c:v>7</c:v>
                </c:pt>
                <c:pt idx="2">
                  <c:v>2</c:v>
                </c:pt>
                <c:pt idx="3">
                  <c:v>5</c:v>
                </c:pt>
                <c:pt idx="4">
                  <c:v>7</c:v>
                </c:pt>
                <c:pt idx="5">
                  <c:v>3</c:v>
                </c:pt>
                <c:pt idx="6">
                  <c:v>5</c:v>
                </c:pt>
                <c:pt idx="7">
                  <c:v>4</c:v>
                </c:pt>
                <c:pt idx="8">
                  <c:v>5</c:v>
                </c:pt>
                <c:pt idx="9">
                  <c:v>1</c:v>
                </c:pt>
              </c:numCache>
            </c:numRef>
          </c:val>
          <c:extLst>
            <c:ext xmlns:c16="http://schemas.microsoft.com/office/drawing/2014/chart" uri="{C3380CC4-5D6E-409C-BE32-E72D297353CC}">
              <c16:uniqueId val="{00000073-A6FF-4F68-8807-26A4930C8A30}"/>
            </c:ext>
          </c:extLst>
        </c:ser>
        <c:ser>
          <c:idx val="8"/>
          <c:order val="8"/>
          <c:tx>
            <c:strRef>
              <c:f>pivotM!$J$88:$J$89</c:f>
              <c:strCache>
                <c:ptCount val="1"/>
                <c:pt idx="0">
                  <c:v>Love in Baku</c:v>
                </c:pt>
              </c:strCache>
            </c:strRef>
          </c:tx>
          <c:spPr>
            <a:solidFill>
              <a:schemeClr val="accent1">
                <a:shade val="90000"/>
              </a:schemeClr>
            </a:solidFill>
            <a:ln>
              <a:noFill/>
            </a:ln>
            <a:effectLst/>
          </c:spPr>
          <c:invertIfNegative val="0"/>
          <c:cat>
            <c:strRef>
              <c:f>pivotM!$A$90:$A$100</c:f>
              <c:strCache>
                <c:ptCount val="10"/>
                <c:pt idx="0">
                  <c:v>Ganja Cinema Center</c:v>
                </c:pt>
                <c:pt idx="1">
                  <c:v>Cinema Plus Ganjlik Mall</c:v>
                </c:pt>
                <c:pt idx="2">
                  <c:v>Mingachevir Cinema</c:v>
                </c:pt>
                <c:pt idx="3">
                  <c:v>Park Cinema Metro Park</c:v>
                </c:pt>
                <c:pt idx="4">
                  <c:v>Shaki Cinema</c:v>
                </c:pt>
                <c:pt idx="5">
                  <c:v>Sumqayit Cinema</c:v>
                </c:pt>
                <c:pt idx="6">
                  <c:v>Baku City Cinema</c:v>
                </c:pt>
                <c:pt idx="7">
                  <c:v>Cinema Plus 28 Mall</c:v>
                </c:pt>
                <c:pt idx="8">
                  <c:v>Ganja Mall Cinema</c:v>
                </c:pt>
                <c:pt idx="9">
                  <c:v>Park Cinema Flame Towers</c:v>
                </c:pt>
              </c:strCache>
            </c:strRef>
          </c:cat>
          <c:val>
            <c:numRef>
              <c:f>pivotM!$J$90:$J$100</c:f>
              <c:numCache>
                <c:formatCode>0.00</c:formatCode>
                <c:ptCount val="10"/>
                <c:pt idx="0">
                  <c:v>3</c:v>
                </c:pt>
                <c:pt idx="1">
                  <c:v>4</c:v>
                </c:pt>
                <c:pt idx="2">
                  <c:v>10</c:v>
                </c:pt>
                <c:pt idx="3">
                  <c:v>1</c:v>
                </c:pt>
                <c:pt idx="4">
                  <c:v>4</c:v>
                </c:pt>
                <c:pt idx="5">
                  <c:v>4</c:v>
                </c:pt>
                <c:pt idx="6">
                  <c:v>4</c:v>
                </c:pt>
                <c:pt idx="7">
                  <c:v>2</c:v>
                </c:pt>
                <c:pt idx="8">
                  <c:v>6</c:v>
                </c:pt>
                <c:pt idx="9">
                  <c:v>5</c:v>
                </c:pt>
              </c:numCache>
            </c:numRef>
          </c:val>
          <c:extLst>
            <c:ext xmlns:c16="http://schemas.microsoft.com/office/drawing/2014/chart" uri="{C3380CC4-5D6E-409C-BE32-E72D297353CC}">
              <c16:uniqueId val="{00000074-A6FF-4F68-8807-26A4930C8A30}"/>
            </c:ext>
          </c:extLst>
        </c:ser>
        <c:ser>
          <c:idx val="9"/>
          <c:order val="9"/>
          <c:tx>
            <c:strRef>
              <c:f>pivotM!$K$88:$K$89</c:f>
              <c:strCache>
                <c:ptCount val="1"/>
                <c:pt idx="0">
                  <c:v>Magic Planet</c:v>
                </c:pt>
              </c:strCache>
            </c:strRef>
          </c:tx>
          <c:spPr>
            <a:solidFill>
              <a:schemeClr val="accent1">
                <a:shade val="96000"/>
              </a:schemeClr>
            </a:solidFill>
            <a:ln>
              <a:noFill/>
            </a:ln>
            <a:effectLst/>
          </c:spPr>
          <c:invertIfNegative val="0"/>
          <c:cat>
            <c:strRef>
              <c:f>pivotM!$A$90:$A$100</c:f>
              <c:strCache>
                <c:ptCount val="10"/>
                <c:pt idx="0">
                  <c:v>Ganja Cinema Center</c:v>
                </c:pt>
                <c:pt idx="1">
                  <c:v>Cinema Plus Ganjlik Mall</c:v>
                </c:pt>
                <c:pt idx="2">
                  <c:v>Mingachevir Cinema</c:v>
                </c:pt>
                <c:pt idx="3">
                  <c:v>Park Cinema Metro Park</c:v>
                </c:pt>
                <c:pt idx="4">
                  <c:v>Shaki Cinema</c:v>
                </c:pt>
                <c:pt idx="5">
                  <c:v>Sumqayit Cinema</c:v>
                </c:pt>
                <c:pt idx="6">
                  <c:v>Baku City Cinema</c:v>
                </c:pt>
                <c:pt idx="7">
                  <c:v>Cinema Plus 28 Mall</c:v>
                </c:pt>
                <c:pt idx="8">
                  <c:v>Ganja Mall Cinema</c:v>
                </c:pt>
                <c:pt idx="9">
                  <c:v>Park Cinema Flame Towers</c:v>
                </c:pt>
              </c:strCache>
            </c:strRef>
          </c:cat>
          <c:val>
            <c:numRef>
              <c:f>pivotM!$K$90:$K$100</c:f>
              <c:numCache>
                <c:formatCode>0.00</c:formatCode>
                <c:ptCount val="10"/>
                <c:pt idx="0">
                  <c:v>7</c:v>
                </c:pt>
                <c:pt idx="1">
                  <c:v>7</c:v>
                </c:pt>
                <c:pt idx="2">
                  <c:v>8</c:v>
                </c:pt>
                <c:pt idx="3">
                  <c:v>7</c:v>
                </c:pt>
                <c:pt idx="4">
                  <c:v>6</c:v>
                </c:pt>
                <c:pt idx="5">
                  <c:v>3</c:v>
                </c:pt>
                <c:pt idx="6">
                  <c:v>8</c:v>
                </c:pt>
                <c:pt idx="7">
                  <c:v>6</c:v>
                </c:pt>
                <c:pt idx="8">
                  <c:v>6</c:v>
                </c:pt>
                <c:pt idx="9">
                  <c:v>3</c:v>
                </c:pt>
              </c:numCache>
            </c:numRef>
          </c:val>
          <c:extLst>
            <c:ext xmlns:c16="http://schemas.microsoft.com/office/drawing/2014/chart" uri="{C3380CC4-5D6E-409C-BE32-E72D297353CC}">
              <c16:uniqueId val="{00000075-A6FF-4F68-8807-26A4930C8A30}"/>
            </c:ext>
          </c:extLst>
        </c:ser>
        <c:ser>
          <c:idx val="10"/>
          <c:order val="10"/>
          <c:tx>
            <c:strRef>
              <c:f>pivotM!$L$88:$L$89</c:f>
              <c:strCache>
                <c:ptCount val="1"/>
                <c:pt idx="0">
                  <c:v>Midnight Call</c:v>
                </c:pt>
              </c:strCache>
            </c:strRef>
          </c:tx>
          <c:spPr>
            <a:solidFill>
              <a:schemeClr val="accent1">
                <a:tint val="97000"/>
              </a:schemeClr>
            </a:solidFill>
            <a:ln>
              <a:noFill/>
            </a:ln>
            <a:effectLst/>
          </c:spPr>
          <c:invertIfNegative val="0"/>
          <c:cat>
            <c:strRef>
              <c:f>pivotM!$A$90:$A$100</c:f>
              <c:strCache>
                <c:ptCount val="10"/>
                <c:pt idx="0">
                  <c:v>Ganja Cinema Center</c:v>
                </c:pt>
                <c:pt idx="1">
                  <c:v>Cinema Plus Ganjlik Mall</c:v>
                </c:pt>
                <c:pt idx="2">
                  <c:v>Mingachevir Cinema</c:v>
                </c:pt>
                <c:pt idx="3">
                  <c:v>Park Cinema Metro Park</c:v>
                </c:pt>
                <c:pt idx="4">
                  <c:v>Shaki Cinema</c:v>
                </c:pt>
                <c:pt idx="5">
                  <c:v>Sumqayit Cinema</c:v>
                </c:pt>
                <c:pt idx="6">
                  <c:v>Baku City Cinema</c:v>
                </c:pt>
                <c:pt idx="7">
                  <c:v>Cinema Plus 28 Mall</c:v>
                </c:pt>
                <c:pt idx="8">
                  <c:v>Ganja Mall Cinema</c:v>
                </c:pt>
                <c:pt idx="9">
                  <c:v>Park Cinema Flame Towers</c:v>
                </c:pt>
              </c:strCache>
            </c:strRef>
          </c:cat>
          <c:val>
            <c:numRef>
              <c:f>pivotM!$L$90:$L$100</c:f>
              <c:numCache>
                <c:formatCode>0.00</c:formatCode>
                <c:ptCount val="10"/>
                <c:pt idx="0">
                  <c:v>10</c:v>
                </c:pt>
                <c:pt idx="1">
                  <c:v>4</c:v>
                </c:pt>
                <c:pt idx="2">
                  <c:v>5</c:v>
                </c:pt>
                <c:pt idx="3">
                  <c:v>5</c:v>
                </c:pt>
                <c:pt idx="4">
                  <c:v>3</c:v>
                </c:pt>
                <c:pt idx="5">
                  <c:v>4</c:v>
                </c:pt>
                <c:pt idx="6">
                  <c:v>8</c:v>
                </c:pt>
                <c:pt idx="7">
                  <c:v>7</c:v>
                </c:pt>
                <c:pt idx="8">
                  <c:v>2</c:v>
                </c:pt>
                <c:pt idx="9">
                  <c:v>3</c:v>
                </c:pt>
              </c:numCache>
            </c:numRef>
          </c:val>
          <c:extLst>
            <c:ext xmlns:c16="http://schemas.microsoft.com/office/drawing/2014/chart" uri="{C3380CC4-5D6E-409C-BE32-E72D297353CC}">
              <c16:uniqueId val="{00000076-A6FF-4F68-8807-26A4930C8A30}"/>
            </c:ext>
          </c:extLst>
        </c:ser>
        <c:ser>
          <c:idx val="11"/>
          <c:order val="11"/>
          <c:tx>
            <c:strRef>
              <c:f>pivotM!$M$88:$M$89</c:f>
              <c:strCache>
                <c:ptCount val="1"/>
                <c:pt idx="0">
                  <c:v>Ocean Mystery</c:v>
                </c:pt>
              </c:strCache>
            </c:strRef>
          </c:tx>
          <c:spPr>
            <a:solidFill>
              <a:schemeClr val="accent1">
                <a:tint val="90000"/>
              </a:schemeClr>
            </a:solidFill>
            <a:ln>
              <a:noFill/>
            </a:ln>
            <a:effectLst/>
          </c:spPr>
          <c:invertIfNegative val="0"/>
          <c:cat>
            <c:strRef>
              <c:f>pivotM!$A$90:$A$100</c:f>
              <c:strCache>
                <c:ptCount val="10"/>
                <c:pt idx="0">
                  <c:v>Ganja Cinema Center</c:v>
                </c:pt>
                <c:pt idx="1">
                  <c:v>Cinema Plus Ganjlik Mall</c:v>
                </c:pt>
                <c:pt idx="2">
                  <c:v>Mingachevir Cinema</c:v>
                </c:pt>
                <c:pt idx="3">
                  <c:v>Park Cinema Metro Park</c:v>
                </c:pt>
                <c:pt idx="4">
                  <c:v>Shaki Cinema</c:v>
                </c:pt>
                <c:pt idx="5">
                  <c:v>Sumqayit Cinema</c:v>
                </c:pt>
                <c:pt idx="6">
                  <c:v>Baku City Cinema</c:v>
                </c:pt>
                <c:pt idx="7">
                  <c:v>Cinema Plus 28 Mall</c:v>
                </c:pt>
                <c:pt idx="8">
                  <c:v>Ganja Mall Cinema</c:v>
                </c:pt>
                <c:pt idx="9">
                  <c:v>Park Cinema Flame Towers</c:v>
                </c:pt>
              </c:strCache>
            </c:strRef>
          </c:cat>
          <c:val>
            <c:numRef>
              <c:f>pivotM!$M$90:$M$100</c:f>
              <c:numCache>
                <c:formatCode>0.00</c:formatCode>
                <c:ptCount val="10"/>
                <c:pt idx="0">
                  <c:v>8</c:v>
                </c:pt>
                <c:pt idx="1">
                  <c:v>5</c:v>
                </c:pt>
                <c:pt idx="2">
                  <c:v>5</c:v>
                </c:pt>
                <c:pt idx="3">
                  <c:v>5</c:v>
                </c:pt>
                <c:pt idx="4">
                  <c:v>2</c:v>
                </c:pt>
                <c:pt idx="5">
                  <c:v>9</c:v>
                </c:pt>
                <c:pt idx="6">
                  <c:v>4</c:v>
                </c:pt>
                <c:pt idx="7">
                  <c:v>9</c:v>
                </c:pt>
                <c:pt idx="8">
                  <c:v>4</c:v>
                </c:pt>
                <c:pt idx="9">
                  <c:v>3</c:v>
                </c:pt>
              </c:numCache>
            </c:numRef>
          </c:val>
          <c:extLst>
            <c:ext xmlns:c16="http://schemas.microsoft.com/office/drawing/2014/chart" uri="{C3380CC4-5D6E-409C-BE32-E72D297353CC}">
              <c16:uniqueId val="{00000077-A6FF-4F68-8807-26A4930C8A30}"/>
            </c:ext>
          </c:extLst>
        </c:ser>
        <c:ser>
          <c:idx val="12"/>
          <c:order val="12"/>
          <c:tx>
            <c:strRef>
              <c:f>pivotM!$N$88:$N$89</c:f>
              <c:strCache>
                <c:ptCount val="1"/>
                <c:pt idx="0">
                  <c:v>Robot World</c:v>
                </c:pt>
              </c:strCache>
            </c:strRef>
          </c:tx>
          <c:spPr>
            <a:solidFill>
              <a:schemeClr val="accent1">
                <a:tint val="84000"/>
              </a:schemeClr>
            </a:solidFill>
            <a:ln>
              <a:noFill/>
            </a:ln>
            <a:effectLst/>
          </c:spPr>
          <c:invertIfNegative val="0"/>
          <c:cat>
            <c:strRef>
              <c:f>pivotM!$A$90:$A$100</c:f>
              <c:strCache>
                <c:ptCount val="10"/>
                <c:pt idx="0">
                  <c:v>Ganja Cinema Center</c:v>
                </c:pt>
                <c:pt idx="1">
                  <c:v>Cinema Plus Ganjlik Mall</c:v>
                </c:pt>
                <c:pt idx="2">
                  <c:v>Mingachevir Cinema</c:v>
                </c:pt>
                <c:pt idx="3">
                  <c:v>Park Cinema Metro Park</c:v>
                </c:pt>
                <c:pt idx="4">
                  <c:v>Shaki Cinema</c:v>
                </c:pt>
                <c:pt idx="5">
                  <c:v>Sumqayit Cinema</c:v>
                </c:pt>
                <c:pt idx="6">
                  <c:v>Baku City Cinema</c:v>
                </c:pt>
                <c:pt idx="7">
                  <c:v>Cinema Plus 28 Mall</c:v>
                </c:pt>
                <c:pt idx="8">
                  <c:v>Ganja Mall Cinema</c:v>
                </c:pt>
                <c:pt idx="9">
                  <c:v>Park Cinema Flame Towers</c:v>
                </c:pt>
              </c:strCache>
            </c:strRef>
          </c:cat>
          <c:val>
            <c:numRef>
              <c:f>pivotM!$N$90:$N$100</c:f>
              <c:numCache>
                <c:formatCode>0.00</c:formatCode>
                <c:ptCount val="10"/>
                <c:pt idx="0">
                  <c:v>2</c:v>
                </c:pt>
                <c:pt idx="1">
                  <c:v>7</c:v>
                </c:pt>
                <c:pt idx="2">
                  <c:v>4</c:v>
                </c:pt>
                <c:pt idx="3">
                  <c:v>6</c:v>
                </c:pt>
                <c:pt idx="4">
                  <c:v>9</c:v>
                </c:pt>
                <c:pt idx="5">
                  <c:v>4</c:v>
                </c:pt>
                <c:pt idx="6">
                  <c:v>5</c:v>
                </c:pt>
                <c:pt idx="7">
                  <c:v>4</c:v>
                </c:pt>
                <c:pt idx="8">
                  <c:v>6</c:v>
                </c:pt>
                <c:pt idx="9">
                  <c:v>3</c:v>
                </c:pt>
              </c:numCache>
            </c:numRef>
          </c:val>
          <c:extLst>
            <c:ext xmlns:c16="http://schemas.microsoft.com/office/drawing/2014/chart" uri="{C3380CC4-5D6E-409C-BE32-E72D297353CC}">
              <c16:uniqueId val="{00000078-A6FF-4F68-8807-26A4930C8A30}"/>
            </c:ext>
          </c:extLst>
        </c:ser>
        <c:ser>
          <c:idx val="13"/>
          <c:order val="13"/>
          <c:tx>
            <c:strRef>
              <c:f>pivotM!$O$88:$O$89</c:f>
              <c:strCache>
                <c:ptCount val="1"/>
                <c:pt idx="0">
                  <c:v>Shadow Code</c:v>
                </c:pt>
              </c:strCache>
            </c:strRef>
          </c:tx>
          <c:spPr>
            <a:solidFill>
              <a:schemeClr val="accent1">
                <a:tint val="77000"/>
              </a:schemeClr>
            </a:solidFill>
            <a:ln>
              <a:noFill/>
            </a:ln>
            <a:effectLst/>
          </c:spPr>
          <c:invertIfNegative val="0"/>
          <c:cat>
            <c:strRef>
              <c:f>pivotM!$A$90:$A$100</c:f>
              <c:strCache>
                <c:ptCount val="10"/>
                <c:pt idx="0">
                  <c:v>Ganja Cinema Center</c:v>
                </c:pt>
                <c:pt idx="1">
                  <c:v>Cinema Plus Ganjlik Mall</c:v>
                </c:pt>
                <c:pt idx="2">
                  <c:v>Mingachevir Cinema</c:v>
                </c:pt>
                <c:pt idx="3">
                  <c:v>Park Cinema Metro Park</c:v>
                </c:pt>
                <c:pt idx="4">
                  <c:v>Shaki Cinema</c:v>
                </c:pt>
                <c:pt idx="5">
                  <c:v>Sumqayit Cinema</c:v>
                </c:pt>
                <c:pt idx="6">
                  <c:v>Baku City Cinema</c:v>
                </c:pt>
                <c:pt idx="7">
                  <c:v>Cinema Plus 28 Mall</c:v>
                </c:pt>
                <c:pt idx="8">
                  <c:v>Ganja Mall Cinema</c:v>
                </c:pt>
                <c:pt idx="9">
                  <c:v>Park Cinema Flame Towers</c:v>
                </c:pt>
              </c:strCache>
            </c:strRef>
          </c:cat>
          <c:val>
            <c:numRef>
              <c:f>pivotM!$O$90:$O$100</c:f>
              <c:numCache>
                <c:formatCode>0.00</c:formatCode>
                <c:ptCount val="10"/>
                <c:pt idx="0">
                  <c:v>3</c:v>
                </c:pt>
                <c:pt idx="1">
                  <c:v>9</c:v>
                </c:pt>
                <c:pt idx="2">
                  <c:v>6</c:v>
                </c:pt>
                <c:pt idx="3">
                  <c:v>8</c:v>
                </c:pt>
                <c:pt idx="4">
                  <c:v>2</c:v>
                </c:pt>
                <c:pt idx="5">
                  <c:v>3</c:v>
                </c:pt>
                <c:pt idx="6">
                  <c:v>5</c:v>
                </c:pt>
                <c:pt idx="7">
                  <c:v>5</c:v>
                </c:pt>
                <c:pt idx="8">
                  <c:v>9</c:v>
                </c:pt>
                <c:pt idx="9">
                  <c:v>5</c:v>
                </c:pt>
              </c:numCache>
            </c:numRef>
          </c:val>
          <c:extLst>
            <c:ext xmlns:c16="http://schemas.microsoft.com/office/drawing/2014/chart" uri="{C3380CC4-5D6E-409C-BE32-E72D297353CC}">
              <c16:uniqueId val="{00000079-A6FF-4F68-8807-26A4930C8A30}"/>
            </c:ext>
          </c:extLst>
        </c:ser>
        <c:ser>
          <c:idx val="14"/>
          <c:order val="14"/>
          <c:tx>
            <c:strRef>
              <c:f>pivotM!$P$88:$P$89</c:f>
              <c:strCache>
                <c:ptCount val="1"/>
                <c:pt idx="0">
                  <c:v>Summer Story</c:v>
                </c:pt>
              </c:strCache>
            </c:strRef>
          </c:tx>
          <c:spPr>
            <a:solidFill>
              <a:schemeClr val="accent1">
                <a:tint val="70000"/>
              </a:schemeClr>
            </a:solidFill>
            <a:ln>
              <a:noFill/>
            </a:ln>
            <a:effectLst/>
          </c:spPr>
          <c:invertIfNegative val="0"/>
          <c:cat>
            <c:strRef>
              <c:f>pivotM!$A$90:$A$100</c:f>
              <c:strCache>
                <c:ptCount val="10"/>
                <c:pt idx="0">
                  <c:v>Ganja Cinema Center</c:v>
                </c:pt>
                <c:pt idx="1">
                  <c:v>Cinema Plus Ganjlik Mall</c:v>
                </c:pt>
                <c:pt idx="2">
                  <c:v>Mingachevir Cinema</c:v>
                </c:pt>
                <c:pt idx="3">
                  <c:v>Park Cinema Metro Park</c:v>
                </c:pt>
                <c:pt idx="4">
                  <c:v>Shaki Cinema</c:v>
                </c:pt>
                <c:pt idx="5">
                  <c:v>Sumqayit Cinema</c:v>
                </c:pt>
                <c:pt idx="6">
                  <c:v>Baku City Cinema</c:v>
                </c:pt>
                <c:pt idx="7">
                  <c:v>Cinema Plus 28 Mall</c:v>
                </c:pt>
                <c:pt idx="8">
                  <c:v>Ganja Mall Cinema</c:v>
                </c:pt>
                <c:pt idx="9">
                  <c:v>Park Cinema Flame Towers</c:v>
                </c:pt>
              </c:strCache>
            </c:strRef>
          </c:cat>
          <c:val>
            <c:numRef>
              <c:f>pivotM!$P$90:$P$100</c:f>
              <c:numCache>
                <c:formatCode>0.00</c:formatCode>
                <c:ptCount val="10"/>
                <c:pt idx="0">
                  <c:v>4</c:v>
                </c:pt>
                <c:pt idx="1">
                  <c:v>5</c:v>
                </c:pt>
                <c:pt idx="2">
                  <c:v>6</c:v>
                </c:pt>
                <c:pt idx="3">
                  <c:v>5</c:v>
                </c:pt>
                <c:pt idx="4">
                  <c:v>2</c:v>
                </c:pt>
                <c:pt idx="5">
                  <c:v>8</c:v>
                </c:pt>
                <c:pt idx="6">
                  <c:v>7</c:v>
                </c:pt>
                <c:pt idx="7">
                  <c:v>1</c:v>
                </c:pt>
                <c:pt idx="8">
                  <c:v>5</c:v>
                </c:pt>
                <c:pt idx="9">
                  <c:v>4</c:v>
                </c:pt>
              </c:numCache>
            </c:numRef>
          </c:val>
          <c:extLst>
            <c:ext xmlns:c16="http://schemas.microsoft.com/office/drawing/2014/chart" uri="{C3380CC4-5D6E-409C-BE32-E72D297353CC}">
              <c16:uniqueId val="{0000007A-A6FF-4F68-8807-26A4930C8A30}"/>
            </c:ext>
          </c:extLst>
        </c:ser>
        <c:ser>
          <c:idx val="15"/>
          <c:order val="15"/>
          <c:tx>
            <c:strRef>
              <c:f>pivotM!$Q$88:$Q$89</c:f>
              <c:strCache>
                <c:ptCount val="1"/>
                <c:pt idx="0">
                  <c:v>The Detective</c:v>
                </c:pt>
              </c:strCache>
            </c:strRef>
          </c:tx>
          <c:spPr>
            <a:solidFill>
              <a:schemeClr val="accent1">
                <a:tint val="64000"/>
              </a:schemeClr>
            </a:solidFill>
            <a:ln>
              <a:noFill/>
            </a:ln>
            <a:effectLst/>
          </c:spPr>
          <c:invertIfNegative val="0"/>
          <c:cat>
            <c:strRef>
              <c:f>pivotM!$A$90:$A$100</c:f>
              <c:strCache>
                <c:ptCount val="10"/>
                <c:pt idx="0">
                  <c:v>Ganja Cinema Center</c:v>
                </c:pt>
                <c:pt idx="1">
                  <c:v>Cinema Plus Ganjlik Mall</c:v>
                </c:pt>
                <c:pt idx="2">
                  <c:v>Mingachevir Cinema</c:v>
                </c:pt>
                <c:pt idx="3">
                  <c:v>Park Cinema Metro Park</c:v>
                </c:pt>
                <c:pt idx="4">
                  <c:v>Shaki Cinema</c:v>
                </c:pt>
                <c:pt idx="5">
                  <c:v>Sumqayit Cinema</c:v>
                </c:pt>
                <c:pt idx="6">
                  <c:v>Baku City Cinema</c:v>
                </c:pt>
                <c:pt idx="7">
                  <c:v>Cinema Plus 28 Mall</c:v>
                </c:pt>
                <c:pt idx="8">
                  <c:v>Ganja Mall Cinema</c:v>
                </c:pt>
                <c:pt idx="9">
                  <c:v>Park Cinema Flame Towers</c:v>
                </c:pt>
              </c:strCache>
            </c:strRef>
          </c:cat>
          <c:val>
            <c:numRef>
              <c:f>pivotM!$Q$90:$Q$100</c:f>
              <c:numCache>
                <c:formatCode>0.00</c:formatCode>
                <c:ptCount val="10"/>
                <c:pt idx="0">
                  <c:v>7</c:v>
                </c:pt>
                <c:pt idx="1">
                  <c:v>6</c:v>
                </c:pt>
                <c:pt idx="2">
                  <c:v>3</c:v>
                </c:pt>
                <c:pt idx="3">
                  <c:v>5</c:v>
                </c:pt>
                <c:pt idx="4">
                  <c:v>10</c:v>
                </c:pt>
                <c:pt idx="5">
                  <c:v>5</c:v>
                </c:pt>
                <c:pt idx="6">
                  <c:v>4</c:v>
                </c:pt>
                <c:pt idx="7">
                  <c:v>2</c:v>
                </c:pt>
                <c:pt idx="8">
                  <c:v>3</c:v>
                </c:pt>
                <c:pt idx="9">
                  <c:v>1</c:v>
                </c:pt>
              </c:numCache>
            </c:numRef>
          </c:val>
          <c:extLst>
            <c:ext xmlns:c16="http://schemas.microsoft.com/office/drawing/2014/chart" uri="{C3380CC4-5D6E-409C-BE32-E72D297353CC}">
              <c16:uniqueId val="{0000007B-A6FF-4F68-8807-26A4930C8A30}"/>
            </c:ext>
          </c:extLst>
        </c:ser>
        <c:ser>
          <c:idx val="16"/>
          <c:order val="16"/>
          <c:tx>
            <c:strRef>
              <c:f>pivotM!$R$88:$R$89</c:f>
              <c:strCache>
                <c:ptCount val="1"/>
                <c:pt idx="0">
                  <c:v>The Forgotten Road</c:v>
                </c:pt>
              </c:strCache>
            </c:strRef>
          </c:tx>
          <c:spPr>
            <a:solidFill>
              <a:schemeClr val="accent1">
                <a:tint val="57000"/>
              </a:schemeClr>
            </a:solidFill>
            <a:ln>
              <a:noFill/>
            </a:ln>
            <a:effectLst/>
          </c:spPr>
          <c:invertIfNegative val="0"/>
          <c:cat>
            <c:strRef>
              <c:f>pivotM!$A$90:$A$100</c:f>
              <c:strCache>
                <c:ptCount val="10"/>
                <c:pt idx="0">
                  <c:v>Ganja Cinema Center</c:v>
                </c:pt>
                <c:pt idx="1">
                  <c:v>Cinema Plus Ganjlik Mall</c:v>
                </c:pt>
                <c:pt idx="2">
                  <c:v>Mingachevir Cinema</c:v>
                </c:pt>
                <c:pt idx="3">
                  <c:v>Park Cinema Metro Park</c:v>
                </c:pt>
                <c:pt idx="4">
                  <c:v>Shaki Cinema</c:v>
                </c:pt>
                <c:pt idx="5">
                  <c:v>Sumqayit Cinema</c:v>
                </c:pt>
                <c:pt idx="6">
                  <c:v>Baku City Cinema</c:v>
                </c:pt>
                <c:pt idx="7">
                  <c:v>Cinema Plus 28 Mall</c:v>
                </c:pt>
                <c:pt idx="8">
                  <c:v>Ganja Mall Cinema</c:v>
                </c:pt>
                <c:pt idx="9">
                  <c:v>Park Cinema Flame Towers</c:v>
                </c:pt>
              </c:strCache>
            </c:strRef>
          </c:cat>
          <c:val>
            <c:numRef>
              <c:f>pivotM!$R$90:$R$100</c:f>
              <c:numCache>
                <c:formatCode>0.00</c:formatCode>
                <c:ptCount val="10"/>
                <c:pt idx="0">
                  <c:v>7</c:v>
                </c:pt>
                <c:pt idx="1">
                  <c:v>7</c:v>
                </c:pt>
                <c:pt idx="2">
                  <c:v>4</c:v>
                </c:pt>
                <c:pt idx="3">
                  <c:v>6</c:v>
                </c:pt>
                <c:pt idx="4">
                  <c:v>3</c:v>
                </c:pt>
                <c:pt idx="5">
                  <c:v>8</c:v>
                </c:pt>
                <c:pt idx="6">
                  <c:v>8</c:v>
                </c:pt>
                <c:pt idx="7">
                  <c:v>6</c:v>
                </c:pt>
                <c:pt idx="8">
                  <c:v>0</c:v>
                </c:pt>
                <c:pt idx="9">
                  <c:v>8</c:v>
                </c:pt>
              </c:numCache>
            </c:numRef>
          </c:val>
          <c:extLst>
            <c:ext xmlns:c16="http://schemas.microsoft.com/office/drawing/2014/chart" uri="{C3380CC4-5D6E-409C-BE32-E72D297353CC}">
              <c16:uniqueId val="{0000007C-A6FF-4F68-8807-26A4930C8A30}"/>
            </c:ext>
          </c:extLst>
        </c:ser>
        <c:ser>
          <c:idx val="17"/>
          <c:order val="17"/>
          <c:tx>
            <c:strRef>
              <c:f>pivotM!$S$88:$S$89</c:f>
              <c:strCache>
                <c:ptCount val="1"/>
                <c:pt idx="0">
                  <c:v>The Last Kingdom</c:v>
                </c:pt>
              </c:strCache>
            </c:strRef>
          </c:tx>
          <c:spPr>
            <a:solidFill>
              <a:schemeClr val="accent1">
                <a:tint val="50000"/>
              </a:schemeClr>
            </a:solidFill>
            <a:ln>
              <a:noFill/>
            </a:ln>
            <a:effectLst/>
          </c:spPr>
          <c:invertIfNegative val="0"/>
          <c:cat>
            <c:strRef>
              <c:f>pivotM!$A$90:$A$100</c:f>
              <c:strCache>
                <c:ptCount val="10"/>
                <c:pt idx="0">
                  <c:v>Ganja Cinema Center</c:v>
                </c:pt>
                <c:pt idx="1">
                  <c:v>Cinema Plus Ganjlik Mall</c:v>
                </c:pt>
                <c:pt idx="2">
                  <c:v>Mingachevir Cinema</c:v>
                </c:pt>
                <c:pt idx="3">
                  <c:v>Park Cinema Metro Park</c:v>
                </c:pt>
                <c:pt idx="4">
                  <c:v>Shaki Cinema</c:v>
                </c:pt>
                <c:pt idx="5">
                  <c:v>Sumqayit Cinema</c:v>
                </c:pt>
                <c:pt idx="6">
                  <c:v>Baku City Cinema</c:v>
                </c:pt>
                <c:pt idx="7">
                  <c:v>Cinema Plus 28 Mall</c:v>
                </c:pt>
                <c:pt idx="8">
                  <c:v>Ganja Mall Cinema</c:v>
                </c:pt>
                <c:pt idx="9">
                  <c:v>Park Cinema Flame Towers</c:v>
                </c:pt>
              </c:strCache>
            </c:strRef>
          </c:cat>
          <c:val>
            <c:numRef>
              <c:f>pivotM!$S$90:$S$100</c:f>
              <c:numCache>
                <c:formatCode>0.00</c:formatCode>
                <c:ptCount val="10"/>
                <c:pt idx="0">
                  <c:v>5</c:v>
                </c:pt>
                <c:pt idx="1">
                  <c:v>5</c:v>
                </c:pt>
                <c:pt idx="2">
                  <c:v>7</c:v>
                </c:pt>
                <c:pt idx="3">
                  <c:v>4</c:v>
                </c:pt>
                <c:pt idx="4">
                  <c:v>5</c:v>
                </c:pt>
                <c:pt idx="5">
                  <c:v>3</c:v>
                </c:pt>
                <c:pt idx="6">
                  <c:v>3</c:v>
                </c:pt>
                <c:pt idx="7">
                  <c:v>7</c:v>
                </c:pt>
                <c:pt idx="8">
                  <c:v>4</c:v>
                </c:pt>
                <c:pt idx="9">
                  <c:v>3</c:v>
                </c:pt>
              </c:numCache>
            </c:numRef>
          </c:val>
          <c:extLst>
            <c:ext xmlns:c16="http://schemas.microsoft.com/office/drawing/2014/chart" uri="{C3380CC4-5D6E-409C-BE32-E72D297353CC}">
              <c16:uniqueId val="{0000007D-A6FF-4F68-8807-26A4930C8A30}"/>
            </c:ext>
          </c:extLst>
        </c:ser>
        <c:ser>
          <c:idx val="18"/>
          <c:order val="18"/>
          <c:tx>
            <c:strRef>
              <c:f>pivotM!$T$88:$T$89</c:f>
              <c:strCache>
                <c:ptCount val="1"/>
                <c:pt idx="0">
                  <c:v>The Last Mission</c:v>
                </c:pt>
              </c:strCache>
            </c:strRef>
          </c:tx>
          <c:spPr>
            <a:solidFill>
              <a:schemeClr val="accent1">
                <a:tint val="44000"/>
              </a:schemeClr>
            </a:solidFill>
            <a:ln>
              <a:noFill/>
            </a:ln>
            <a:effectLst/>
          </c:spPr>
          <c:invertIfNegative val="0"/>
          <c:cat>
            <c:strRef>
              <c:f>pivotM!$A$90:$A$100</c:f>
              <c:strCache>
                <c:ptCount val="10"/>
                <c:pt idx="0">
                  <c:v>Ganja Cinema Center</c:v>
                </c:pt>
                <c:pt idx="1">
                  <c:v>Cinema Plus Ganjlik Mall</c:v>
                </c:pt>
                <c:pt idx="2">
                  <c:v>Mingachevir Cinema</c:v>
                </c:pt>
                <c:pt idx="3">
                  <c:v>Park Cinema Metro Park</c:v>
                </c:pt>
                <c:pt idx="4">
                  <c:v>Shaki Cinema</c:v>
                </c:pt>
                <c:pt idx="5">
                  <c:v>Sumqayit Cinema</c:v>
                </c:pt>
                <c:pt idx="6">
                  <c:v>Baku City Cinema</c:v>
                </c:pt>
                <c:pt idx="7">
                  <c:v>Cinema Plus 28 Mall</c:v>
                </c:pt>
                <c:pt idx="8">
                  <c:v>Ganja Mall Cinema</c:v>
                </c:pt>
                <c:pt idx="9">
                  <c:v>Park Cinema Flame Towers</c:v>
                </c:pt>
              </c:strCache>
            </c:strRef>
          </c:cat>
          <c:val>
            <c:numRef>
              <c:f>pivotM!$T$90:$T$100</c:f>
              <c:numCache>
                <c:formatCode>0.00</c:formatCode>
                <c:ptCount val="10"/>
                <c:pt idx="0">
                  <c:v>4</c:v>
                </c:pt>
                <c:pt idx="1">
                  <c:v>2</c:v>
                </c:pt>
                <c:pt idx="2">
                  <c:v>3</c:v>
                </c:pt>
                <c:pt idx="3">
                  <c:v>7</c:v>
                </c:pt>
                <c:pt idx="4">
                  <c:v>6</c:v>
                </c:pt>
                <c:pt idx="5">
                  <c:v>5</c:v>
                </c:pt>
                <c:pt idx="6">
                  <c:v>2</c:v>
                </c:pt>
                <c:pt idx="7">
                  <c:v>4</c:v>
                </c:pt>
                <c:pt idx="8">
                  <c:v>4</c:v>
                </c:pt>
                <c:pt idx="9">
                  <c:v>7</c:v>
                </c:pt>
              </c:numCache>
            </c:numRef>
          </c:val>
          <c:extLst>
            <c:ext xmlns:c16="http://schemas.microsoft.com/office/drawing/2014/chart" uri="{C3380CC4-5D6E-409C-BE32-E72D297353CC}">
              <c16:uniqueId val="{00000080-A6FF-4F68-8807-26A4930C8A30}"/>
            </c:ext>
          </c:extLst>
        </c:ser>
        <c:ser>
          <c:idx val="19"/>
          <c:order val="19"/>
          <c:tx>
            <c:strRef>
              <c:f>pivotM!$U$88:$U$89</c:f>
              <c:strCache>
                <c:ptCount val="1"/>
                <c:pt idx="0">
                  <c:v>The Silent House</c:v>
                </c:pt>
              </c:strCache>
            </c:strRef>
          </c:tx>
          <c:spPr>
            <a:solidFill>
              <a:schemeClr val="accent1">
                <a:tint val="37000"/>
              </a:schemeClr>
            </a:solidFill>
            <a:ln>
              <a:noFill/>
            </a:ln>
            <a:effectLst/>
          </c:spPr>
          <c:invertIfNegative val="0"/>
          <c:cat>
            <c:strRef>
              <c:f>pivotM!$A$90:$A$100</c:f>
              <c:strCache>
                <c:ptCount val="10"/>
                <c:pt idx="0">
                  <c:v>Ganja Cinema Center</c:v>
                </c:pt>
                <c:pt idx="1">
                  <c:v>Cinema Plus Ganjlik Mall</c:v>
                </c:pt>
                <c:pt idx="2">
                  <c:v>Mingachevir Cinema</c:v>
                </c:pt>
                <c:pt idx="3">
                  <c:v>Park Cinema Metro Park</c:v>
                </c:pt>
                <c:pt idx="4">
                  <c:v>Shaki Cinema</c:v>
                </c:pt>
                <c:pt idx="5">
                  <c:v>Sumqayit Cinema</c:v>
                </c:pt>
                <c:pt idx="6">
                  <c:v>Baku City Cinema</c:v>
                </c:pt>
                <c:pt idx="7">
                  <c:v>Cinema Plus 28 Mall</c:v>
                </c:pt>
                <c:pt idx="8">
                  <c:v>Ganja Mall Cinema</c:v>
                </c:pt>
                <c:pt idx="9">
                  <c:v>Park Cinema Flame Towers</c:v>
                </c:pt>
              </c:strCache>
            </c:strRef>
          </c:cat>
          <c:val>
            <c:numRef>
              <c:f>pivotM!$U$90:$U$100</c:f>
              <c:numCache>
                <c:formatCode>0.00</c:formatCode>
                <c:ptCount val="10"/>
                <c:pt idx="0">
                  <c:v>8</c:v>
                </c:pt>
                <c:pt idx="1">
                  <c:v>6</c:v>
                </c:pt>
                <c:pt idx="2">
                  <c:v>5</c:v>
                </c:pt>
                <c:pt idx="3">
                  <c:v>3</c:v>
                </c:pt>
                <c:pt idx="4">
                  <c:v>3</c:v>
                </c:pt>
                <c:pt idx="5">
                  <c:v>4</c:v>
                </c:pt>
                <c:pt idx="6">
                  <c:v>3</c:v>
                </c:pt>
                <c:pt idx="7">
                  <c:v>4</c:v>
                </c:pt>
                <c:pt idx="8">
                  <c:v>7</c:v>
                </c:pt>
                <c:pt idx="9">
                  <c:v>3</c:v>
                </c:pt>
              </c:numCache>
            </c:numRef>
          </c:val>
          <c:extLst>
            <c:ext xmlns:c16="http://schemas.microsoft.com/office/drawing/2014/chart" uri="{C3380CC4-5D6E-409C-BE32-E72D297353CC}">
              <c16:uniqueId val="{00000081-A6FF-4F68-8807-26A4930C8A30}"/>
            </c:ext>
          </c:extLst>
        </c:ser>
        <c:dLbls>
          <c:showLegendKey val="0"/>
          <c:showVal val="0"/>
          <c:showCatName val="0"/>
          <c:showSerName val="0"/>
          <c:showPercent val="0"/>
          <c:showBubbleSize val="0"/>
        </c:dLbls>
        <c:gapWidth val="150"/>
        <c:overlap val="100"/>
        <c:axId val="1051118479"/>
        <c:axId val="1051110319"/>
      </c:barChart>
      <c:catAx>
        <c:axId val="1051118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2"/>
                </a:solidFill>
                <a:latin typeface="Aptos" panose="020B0004020202020204" pitchFamily="34" charset="0"/>
                <a:ea typeface="+mn-ea"/>
                <a:cs typeface="+mn-cs"/>
              </a:defRPr>
            </a:pPr>
            <a:endParaRPr lang="en-US"/>
          </a:p>
        </c:txPr>
        <c:crossAx val="1051110319"/>
        <c:crosses val="autoZero"/>
        <c:auto val="1"/>
        <c:lblAlgn val="ctr"/>
        <c:lblOffset val="100"/>
        <c:noMultiLvlLbl val="0"/>
      </c:catAx>
      <c:valAx>
        <c:axId val="105111031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Aptos" panose="020B0004020202020204" pitchFamily="34" charset="0"/>
                <a:ea typeface="+mn-ea"/>
                <a:cs typeface="+mn-cs"/>
              </a:defRPr>
            </a:pPr>
            <a:endParaRPr lang="en-US"/>
          </a:p>
        </c:txPr>
        <c:crossAx val="105111847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[movie_booking_analysis.xlsx]pivotb!PivotTable17</c:name>
    <c:fmtId val="4"/>
  </c:pivotSource>
  <c:chart>
    <c:title>
      <c:tx>
        <c:rich>
          <a:bodyPr rot="0" spcFirstLastPara="1" vertOverflow="ellipsis" vert="horz" wrap="square" anchor="ctr" anchorCtr="1"/>
          <a:lstStyle/>
          <a:p>
            <a:pPr algn="l" rtl="0">
              <a:defRPr lang="en-US" sz="1200" b="1" i="0" u="none" strike="noStrike" kern="1200" spc="0" baseline="0">
                <a:solidFill>
                  <a:schemeClr val="tx2"/>
                </a:solidFill>
                <a:latin typeface="Aptos" panose="020B0004020202020204" pitchFamily="34" charset="0"/>
                <a:ea typeface="+mn-ea"/>
                <a:cs typeface="+mn-cs"/>
              </a:defRPr>
            </a:pPr>
            <a:r>
              <a:rPr lang="en-US"/>
              <a:t>Average</a:t>
            </a:r>
          </a:p>
        </c:rich>
      </c:tx>
      <c:layout>
        <c:manualLayout>
          <c:xMode val="edge"/>
          <c:yMode val="edge"/>
          <c:x val="2.0153123420855141E-2"/>
          <c:y val="1.9702808219018691E-2"/>
        </c:manualLayout>
      </c:layout>
      <c:overlay val="0"/>
      <c:spPr>
        <a:noFill/>
        <a:ln>
          <a:noFill/>
        </a:ln>
        <a:effectLst/>
      </c:spPr>
      <c:txPr>
        <a:bodyPr rot="0" spcFirstLastPara="1" vertOverflow="ellipsis" vert="horz" wrap="square" anchor="ctr" anchorCtr="1"/>
        <a:lstStyle/>
        <a:p>
          <a:pPr algn="l" rtl="0">
            <a:defRPr lang="en-US" sz="1200" b="1" i="0" u="none" strike="noStrike" kern="1200" spc="0" baseline="0">
              <a:solidFill>
                <a:schemeClr val="tx2"/>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2"/>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2"/>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pivotb!$A$6:$A$26</c:f>
              <c:strCache>
                <c:ptCount val="20"/>
                <c:pt idx="0">
                  <c:v>Summer Story</c:v>
                </c:pt>
                <c:pt idx="1">
                  <c:v>Magic Planet</c:v>
                </c:pt>
                <c:pt idx="2">
                  <c:v>Love in Baku</c:v>
                </c:pt>
                <c:pt idx="3">
                  <c:v>Code 404</c:v>
                </c:pt>
                <c:pt idx="4">
                  <c:v>Lost Memories</c:v>
                </c:pt>
                <c:pt idx="5">
                  <c:v>The Detective</c:v>
                </c:pt>
                <c:pt idx="6">
                  <c:v>Robot World</c:v>
                </c:pt>
                <c:pt idx="7">
                  <c:v>The Last Mission</c:v>
                </c:pt>
                <c:pt idx="8">
                  <c:v>Shadow Code</c:v>
                </c:pt>
                <c:pt idx="9">
                  <c:v>Funny Neighbours</c:v>
                </c:pt>
                <c:pt idx="10">
                  <c:v>Midnight Call</c:v>
                </c:pt>
                <c:pt idx="11">
                  <c:v>The Forgotten Road</c:v>
                </c:pt>
                <c:pt idx="12">
                  <c:v>The Silent House</c:v>
                </c:pt>
                <c:pt idx="13">
                  <c:v>The Last Kingdom</c:v>
                </c:pt>
                <c:pt idx="14">
                  <c:v>Beyond Mars</c:v>
                </c:pt>
                <c:pt idx="15">
                  <c:v>Baku Nights</c:v>
                </c:pt>
                <c:pt idx="16">
                  <c:v>City Hunters</c:v>
                </c:pt>
                <c:pt idx="17">
                  <c:v>Ocean Mystery</c:v>
                </c:pt>
                <c:pt idx="18">
                  <c:v>Family Weekend</c:v>
                </c:pt>
                <c:pt idx="19">
                  <c:v>Little Stars</c:v>
                </c:pt>
              </c:strCache>
            </c:strRef>
          </c:cat>
          <c:val>
            <c:numRef>
              <c:f>pivotb!$B$6:$B$26</c:f>
              <c:numCache>
                <c:formatCode>0.00</c:formatCode>
                <c:ptCount val="20"/>
                <c:pt idx="0">
                  <c:v>34.255319148936174</c:v>
                </c:pt>
                <c:pt idx="1">
                  <c:v>32.803278688524593</c:v>
                </c:pt>
                <c:pt idx="2">
                  <c:v>32.255813953488371</c:v>
                </c:pt>
                <c:pt idx="3">
                  <c:v>31.254901960784313</c:v>
                </c:pt>
                <c:pt idx="4">
                  <c:v>31.065217391304348</c:v>
                </c:pt>
                <c:pt idx="5">
                  <c:v>30.413043478260871</c:v>
                </c:pt>
                <c:pt idx="6">
                  <c:v>30.4</c:v>
                </c:pt>
                <c:pt idx="7">
                  <c:v>30.318181818181817</c:v>
                </c:pt>
                <c:pt idx="8">
                  <c:v>30.254545454545454</c:v>
                </c:pt>
                <c:pt idx="9">
                  <c:v>29.555555555555557</c:v>
                </c:pt>
                <c:pt idx="10">
                  <c:v>29.549019607843139</c:v>
                </c:pt>
                <c:pt idx="11">
                  <c:v>29.491228070175438</c:v>
                </c:pt>
                <c:pt idx="12">
                  <c:v>28.608695652173914</c:v>
                </c:pt>
                <c:pt idx="13">
                  <c:v>28.282608695652176</c:v>
                </c:pt>
                <c:pt idx="14">
                  <c:v>28.08</c:v>
                </c:pt>
                <c:pt idx="15">
                  <c:v>27.962264150943398</c:v>
                </c:pt>
                <c:pt idx="16">
                  <c:v>27.946428571428573</c:v>
                </c:pt>
                <c:pt idx="17">
                  <c:v>27.74074074074074</c:v>
                </c:pt>
                <c:pt idx="18">
                  <c:v>27.22</c:v>
                </c:pt>
                <c:pt idx="19">
                  <c:v>26.387755102040817</c:v>
                </c:pt>
              </c:numCache>
            </c:numRef>
          </c:val>
          <c:extLst>
            <c:ext xmlns:c16="http://schemas.microsoft.com/office/drawing/2014/chart" uri="{C3380CC4-5D6E-409C-BE32-E72D297353CC}">
              <c16:uniqueId val="{00000000-DDE9-4B5E-A555-C1EA32382912}"/>
            </c:ext>
          </c:extLst>
        </c:ser>
        <c:dLbls>
          <c:dLblPos val="outEnd"/>
          <c:showLegendKey val="0"/>
          <c:showVal val="1"/>
          <c:showCatName val="0"/>
          <c:showSerName val="0"/>
          <c:showPercent val="0"/>
          <c:showBubbleSize val="0"/>
        </c:dLbls>
        <c:gapWidth val="182"/>
        <c:axId val="1625172063"/>
        <c:axId val="1625174463"/>
      </c:barChart>
      <c:catAx>
        <c:axId val="1625172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2"/>
                </a:solidFill>
                <a:latin typeface="Aptos" panose="020B0004020202020204" pitchFamily="34" charset="0"/>
                <a:ea typeface="+mn-ea"/>
                <a:cs typeface="+mn-cs"/>
              </a:defRPr>
            </a:pPr>
            <a:endParaRPr lang="en-US"/>
          </a:p>
        </c:txPr>
        <c:crossAx val="1625174463"/>
        <c:crosses val="autoZero"/>
        <c:auto val="1"/>
        <c:lblAlgn val="ctr"/>
        <c:lblOffset val="100"/>
        <c:noMultiLvlLbl val="0"/>
      </c:catAx>
      <c:valAx>
        <c:axId val="162517446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2"/>
                </a:solidFill>
                <a:latin typeface="Aptos" panose="020B0004020202020204" pitchFamily="34" charset="0"/>
                <a:ea typeface="+mn-ea"/>
                <a:cs typeface="+mn-cs"/>
              </a:defRPr>
            </a:pPr>
            <a:endParaRPr lang="en-US"/>
          </a:p>
        </c:txPr>
        <c:crossAx val="1625172063"/>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1000" b="1" i="0" u="none" strike="noStrike" kern="1200" baseline="0">
          <a:solidFill>
            <a:schemeClr val="tx2"/>
          </a:solidFill>
          <a:latin typeface="Aptos" panose="020B00040202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[movie_booking_analysis.xlsx]pivot!PivotTable19</c:name>
    <c:fmtId val="6"/>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a:t>Payment Method</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hade val="65000"/>
            </a:schemeClr>
          </a:solidFill>
          <a:ln w="19050">
            <a:solidFill>
              <a:schemeClr val="lt1"/>
            </a:solidFill>
          </a:ln>
          <a:effectLst/>
        </c:spPr>
        <c:dLbl>
          <c:idx val="0"/>
          <c:layout>
            <c:manualLayout>
              <c:x val="9.0282979299541086E-2"/>
              <c:y val="-0.17728314739886486"/>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3801876360788105"/>
              <c:y val="0.1247548074288308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tint val="65000"/>
            </a:schemeClr>
          </a:solidFill>
          <a:ln w="19050">
            <a:solidFill>
              <a:schemeClr val="lt1"/>
            </a:solidFill>
          </a:ln>
          <a:effectLst/>
        </c:spPr>
        <c:dLbl>
          <c:idx val="0"/>
          <c:layout>
            <c:manualLayout>
              <c:x val="-0.1066980664449122"/>
              <c:y val="-0.190415232391373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pivot!$B$97</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4870-44A6-B72C-3D70EF0BC88E}"/>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4870-44A6-B72C-3D70EF0BC88E}"/>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4870-44A6-B72C-3D70EF0BC88E}"/>
              </c:ext>
            </c:extLst>
          </c:dPt>
          <c:dLbls>
            <c:dLbl>
              <c:idx val="0"/>
              <c:layout>
                <c:manualLayout>
                  <c:x val="9.0282979299541086E-2"/>
                  <c:y val="-0.177283147398864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870-44A6-B72C-3D70EF0BC88E}"/>
                </c:ext>
              </c:extLst>
            </c:dLbl>
            <c:dLbl>
              <c:idx val="1"/>
              <c:layout>
                <c:manualLayout>
                  <c:x val="0.23801876360788105"/>
                  <c:y val="0.124754807428830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870-44A6-B72C-3D70EF0BC88E}"/>
                </c:ext>
              </c:extLst>
            </c:dLbl>
            <c:dLbl>
              <c:idx val="2"/>
              <c:layout>
                <c:manualLayout>
                  <c:x val="-0.1066980664449122"/>
                  <c:y val="-0.19041523239137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870-44A6-B72C-3D70EF0BC88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pivot!$A$98:$A$101</c:f>
              <c:strCache>
                <c:ptCount val="3"/>
                <c:pt idx="0">
                  <c:v>Cash</c:v>
                </c:pt>
                <c:pt idx="1">
                  <c:v>Credit Card</c:v>
                </c:pt>
                <c:pt idx="2">
                  <c:v>Debit Card</c:v>
                </c:pt>
              </c:strCache>
            </c:strRef>
          </c:cat>
          <c:val>
            <c:numRef>
              <c:f>pivot!$B$98:$B$101</c:f>
              <c:numCache>
                <c:formatCode>General</c:formatCode>
                <c:ptCount val="3"/>
                <c:pt idx="0">
                  <c:v>316</c:v>
                </c:pt>
                <c:pt idx="1">
                  <c:v>363</c:v>
                </c:pt>
                <c:pt idx="2">
                  <c:v>321</c:v>
                </c:pt>
              </c:numCache>
            </c:numRef>
          </c:val>
          <c:extLst>
            <c:ext xmlns:c16="http://schemas.microsoft.com/office/drawing/2014/chart" uri="{C3380CC4-5D6E-409C-BE32-E72D297353CC}">
              <c16:uniqueId val="{00000006-4870-44A6-B72C-3D70EF0BC88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[movie_booking_analysis.xlsx]pivot!PivotTable17</c:name>
    <c:fmtId val="14"/>
  </c:pivotSource>
  <c:chart>
    <c:title>
      <c:tx>
        <c:rich>
          <a:bodyPr rot="0" spcFirstLastPara="1" vertOverflow="ellipsis" vert="horz" wrap="square" anchor="ctr" anchorCtr="1"/>
          <a:lstStyle/>
          <a:p>
            <a:pPr algn="ctr" rtl="0">
              <a:defRPr lang="en-US" sz="1600" b="1" i="0" u="none" strike="noStrike" kern="1200" spc="0" baseline="0">
                <a:solidFill>
                  <a:srgbClr val="1F497D"/>
                </a:solidFill>
                <a:latin typeface="+mn-lt"/>
                <a:ea typeface="+mn-ea"/>
                <a:cs typeface="+mn-cs"/>
              </a:defRPr>
            </a:pPr>
            <a:r>
              <a:rPr lang="en-US" sz="1600" b="1" i="0" u="none" strike="noStrike" kern="1200" baseline="0">
                <a:solidFill>
                  <a:srgbClr val="1F497D"/>
                </a:solidFill>
                <a:latin typeface="+mn-lt"/>
                <a:ea typeface="+mn-ea"/>
                <a:cs typeface="+mn-cs"/>
              </a:rPr>
              <a:t>Bookings by Day of Week</a:t>
            </a:r>
          </a:p>
        </c:rich>
      </c:tx>
      <c:layout>
        <c:manualLayout>
          <c:xMode val="edge"/>
          <c:yMode val="edge"/>
          <c:x val="1.5347112860892369E-2"/>
          <c:y val="2.7777777777777776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1F497D"/>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pivot!$B$146</c:f>
              <c:strCache>
                <c:ptCount val="1"/>
                <c:pt idx="0">
                  <c:v>Total</c:v>
                </c:pt>
              </c:strCache>
            </c:strRef>
          </c:tx>
          <c:spPr>
            <a:solidFill>
              <a:schemeClr val="accent1"/>
            </a:solidFill>
            <a:ln>
              <a:noFill/>
            </a:ln>
            <a:effectLst/>
          </c:spPr>
          <c:invertIfNegative val="0"/>
          <c:cat>
            <c:strRef>
              <c:f>pivot!$A$147:$A$154</c:f>
              <c:strCache>
                <c:ptCount val="7"/>
                <c:pt idx="0">
                  <c:v>Thursday</c:v>
                </c:pt>
                <c:pt idx="1">
                  <c:v>Saturday</c:v>
                </c:pt>
                <c:pt idx="2">
                  <c:v>Sunday</c:v>
                </c:pt>
                <c:pt idx="3">
                  <c:v>Tuesday</c:v>
                </c:pt>
                <c:pt idx="4">
                  <c:v>Wednesday</c:v>
                </c:pt>
                <c:pt idx="5">
                  <c:v>Friday</c:v>
                </c:pt>
                <c:pt idx="6">
                  <c:v>Monday</c:v>
                </c:pt>
              </c:strCache>
            </c:strRef>
          </c:cat>
          <c:val>
            <c:numRef>
              <c:f>pivot!$B$147:$B$154</c:f>
              <c:numCache>
                <c:formatCode>General</c:formatCode>
                <c:ptCount val="7"/>
                <c:pt idx="0">
                  <c:v>159</c:v>
                </c:pt>
                <c:pt idx="1">
                  <c:v>159</c:v>
                </c:pt>
                <c:pt idx="2">
                  <c:v>147</c:v>
                </c:pt>
                <c:pt idx="3">
                  <c:v>146</c:v>
                </c:pt>
                <c:pt idx="4">
                  <c:v>141</c:v>
                </c:pt>
                <c:pt idx="5">
                  <c:v>130</c:v>
                </c:pt>
                <c:pt idx="6">
                  <c:v>118</c:v>
                </c:pt>
              </c:numCache>
            </c:numRef>
          </c:val>
          <c:extLst>
            <c:ext xmlns:c16="http://schemas.microsoft.com/office/drawing/2014/chart" uri="{C3380CC4-5D6E-409C-BE32-E72D297353CC}">
              <c16:uniqueId val="{00000000-12B4-45A1-9C75-6DF812211F97}"/>
            </c:ext>
          </c:extLst>
        </c:ser>
        <c:dLbls>
          <c:showLegendKey val="0"/>
          <c:showVal val="0"/>
          <c:showCatName val="0"/>
          <c:showSerName val="0"/>
          <c:showPercent val="0"/>
          <c:showBubbleSize val="0"/>
        </c:dLbls>
        <c:gapWidth val="219"/>
        <c:overlap val="-27"/>
        <c:axId val="866733503"/>
        <c:axId val="866730623"/>
      </c:barChart>
      <c:catAx>
        <c:axId val="86673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730623"/>
        <c:crosses val="autoZero"/>
        <c:auto val="1"/>
        <c:lblAlgn val="ctr"/>
        <c:lblOffset val="100"/>
        <c:noMultiLvlLbl val="0"/>
      </c:catAx>
      <c:valAx>
        <c:axId val="866730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733503"/>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[movie_booking_analysis.xlsx]pivot!PivotTable14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Bookings Over 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pivot!$B$157</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pivot!$A$158:$A$170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pivot!$B$158:$B$170</c:f>
              <c:numCache>
                <c:formatCode>General</c:formatCode>
                <c:ptCount val="12"/>
                <c:pt idx="0">
                  <c:v>86</c:v>
                </c:pt>
                <c:pt idx="1">
                  <c:v>85</c:v>
                </c:pt>
                <c:pt idx="2">
                  <c:v>82</c:v>
                </c:pt>
                <c:pt idx="3">
                  <c:v>95</c:v>
                </c:pt>
                <c:pt idx="4">
                  <c:v>77</c:v>
                </c:pt>
                <c:pt idx="5">
                  <c:v>83</c:v>
                </c:pt>
                <c:pt idx="6">
                  <c:v>90</c:v>
                </c:pt>
                <c:pt idx="7">
                  <c:v>72</c:v>
                </c:pt>
                <c:pt idx="8">
                  <c:v>85</c:v>
                </c:pt>
                <c:pt idx="9">
                  <c:v>83</c:v>
                </c:pt>
                <c:pt idx="10">
                  <c:v>79</c:v>
                </c:pt>
                <c:pt idx="11">
                  <c:v>83</c:v>
                </c:pt>
              </c:numCache>
            </c:numRef>
          </c:val>
          <c:smooth val="0"/>
          <c:extLst>
            <c:ext xmlns:c16="http://schemas.microsoft.com/office/drawing/2014/chart" uri="{C3380CC4-5D6E-409C-BE32-E72D297353CC}">
              <c16:uniqueId val="{00000000-69FE-4FFC-8331-2F689D57C319}"/>
            </c:ext>
          </c:extLst>
        </c:ser>
        <c:dLbls>
          <c:showLegendKey val="0"/>
          <c:showVal val="0"/>
          <c:showCatName val="0"/>
          <c:showSerName val="0"/>
          <c:showPercent val="0"/>
          <c:showBubbleSize val="0"/>
        </c:dLbls>
        <c:marker val="1"/>
        <c:smooth val="0"/>
        <c:axId val="866762783"/>
        <c:axId val="866766623"/>
      </c:lineChart>
      <c:catAx>
        <c:axId val="86676278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66766623"/>
        <c:crosses val="autoZero"/>
        <c:auto val="1"/>
        <c:lblAlgn val="ctr"/>
        <c:lblOffset val="100"/>
        <c:noMultiLvlLbl val="0"/>
      </c:catAx>
      <c:valAx>
        <c:axId val="86676662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Bookings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6676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74667</xdr:colOff>
      <xdr:row>15</xdr:row>
      <xdr:rowOff>32115</xdr:rowOff>
    </xdr:from>
    <xdr:to>
      <xdr:col>4</xdr:col>
      <xdr:colOff>349396</xdr:colOff>
      <xdr:row>25</xdr:row>
      <xdr:rowOff>147910</xdr:rowOff>
    </xdr:to>
    <xdr:graphicFrame macro="">
      <xdr:nvGraphicFramePr>
        <xdr:cNvPr id="8" name="Chart 7">
          <a:extLst>
            <a:ext uri="{FF2B5EF4-FFF2-40B4-BE49-F238E27FC236}">
              <a16:creationId xmlns:a16="http://schemas.microsoft.com/office/drawing/2014/main" id="{F8A1979F-BBA3-8979-6E2E-6BB76527C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167873</xdr:colOff>
      <xdr:row>95</xdr:row>
      <xdr:rowOff>106417</xdr:rowOff>
    </xdr:from>
    <xdr:to>
      <xdr:col>5</xdr:col>
      <xdr:colOff>202178</xdr:colOff>
      <xdr:row>105</xdr:row>
      <xdr:rowOff>109482</xdr:rowOff>
    </xdr:to>
    <xdr:graphicFrame macro="">
      <xdr:nvGraphicFramePr>
        <xdr:cNvPr id="11" name="Chart 10">
          <a:extLst>
            <a:ext uri="{FF2B5EF4-FFF2-40B4-BE49-F238E27FC236}">
              <a16:creationId xmlns:a16="http://schemas.microsoft.com/office/drawing/2014/main" id="{5FD250D2-8896-C18B-D8DC-D63AED1A7F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552276</xdr:colOff>
      <xdr:row>5</xdr:row>
      <xdr:rowOff>9877</xdr:rowOff>
    </xdr:from>
    <xdr:to>
      <xdr:col>7</xdr:col>
      <xdr:colOff>556570</xdr:colOff>
      <xdr:row>10</xdr:row>
      <xdr:rowOff>56224</xdr:rowOff>
    </xdr:to>
    <xdr:sp macro="" textlink="$AA$4">
      <xdr:nvSpPr>
        <xdr:cNvPr id="3" name="Rectangle: Rounded Corners 2">
          <a:extLst>
            <a:ext uri="{FF2B5EF4-FFF2-40B4-BE49-F238E27FC236}">
              <a16:creationId xmlns:a16="http://schemas.microsoft.com/office/drawing/2014/main" id="{B6FD6084-8FFF-CCAF-E96B-DB209487AE2E}"/>
            </a:ext>
          </a:extLst>
        </xdr:cNvPr>
        <xdr:cNvSpPr/>
      </xdr:nvSpPr>
      <xdr:spPr>
        <a:xfrm>
          <a:off x="3518769" y="1384131"/>
          <a:ext cx="1823995" cy="1032018"/>
        </a:xfrm>
        <a:prstGeom prst="round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a:solidFill>
                <a:schemeClr val="tx2"/>
              </a:solidFill>
              <a:effectLst/>
              <a:latin typeface="Aptos" panose="020B0004020202020204" pitchFamily="34" charset="0"/>
              <a:ea typeface="+mn-ea"/>
              <a:cs typeface="+mn-cs"/>
            </a:rPr>
            <a:t>TOTAL REVENUE</a:t>
          </a:r>
        </a:p>
        <a:p>
          <a:endParaRPr lang="en-US" sz="1100" b="1" i="0">
            <a:solidFill>
              <a:schemeClr val="lt1"/>
            </a:solidFill>
            <a:effectLst/>
            <a:latin typeface="+mn-lt"/>
            <a:ea typeface="+mn-ea"/>
            <a:cs typeface="+mn-cs"/>
          </a:endParaRPr>
        </a:p>
        <a:p>
          <a:pPr algn="ctr"/>
          <a:fld id="{C039CE90-AFF2-4B33-888A-1320C8C63849}" type="TxLink">
            <a:rPr lang="en-US" sz="2400" b="1" i="0" u="none" strike="noStrike">
              <a:solidFill>
                <a:schemeClr val="tx2"/>
              </a:solidFill>
              <a:latin typeface="Aptos" panose="020B0004020202020204" pitchFamily="34" charset="0"/>
              <a:ea typeface="Calibri"/>
              <a:cs typeface="Calibri"/>
            </a:rPr>
            <a:pPr algn="ctr"/>
            <a:t>29676</a:t>
          </a:fld>
          <a:endParaRPr lang="en-US" sz="1100" b="1">
            <a:solidFill>
              <a:schemeClr val="tx2"/>
            </a:solidFill>
            <a:latin typeface="Aptos" panose="020B0004020202020204" pitchFamily="34" charset="0"/>
          </a:endParaRPr>
        </a:p>
      </xdr:txBody>
    </xdr:sp>
    <xdr:clientData/>
  </xdr:twoCellAnchor>
  <xdr:twoCellAnchor>
    <xdr:from>
      <xdr:col>8</xdr:col>
      <xdr:colOff>130956</xdr:colOff>
      <xdr:row>5</xdr:row>
      <xdr:rowOff>38107</xdr:rowOff>
    </xdr:from>
    <xdr:to>
      <xdr:col>11</xdr:col>
      <xdr:colOff>135247</xdr:colOff>
      <xdr:row>10</xdr:row>
      <xdr:rowOff>86975</xdr:rowOff>
    </xdr:to>
    <xdr:sp macro="" textlink="$AA$5">
      <xdr:nvSpPr>
        <xdr:cNvPr id="5" name="Rectangle: Rounded Corners 4">
          <a:extLst>
            <a:ext uri="{FF2B5EF4-FFF2-40B4-BE49-F238E27FC236}">
              <a16:creationId xmlns:a16="http://schemas.microsoft.com/office/drawing/2014/main" id="{8D5415CB-82FD-48AD-BB17-259D44597BBE}"/>
            </a:ext>
          </a:extLst>
        </xdr:cNvPr>
        <xdr:cNvSpPr/>
      </xdr:nvSpPr>
      <xdr:spPr>
        <a:xfrm>
          <a:off x="5513802" y="1483953"/>
          <a:ext cx="1821368" cy="1055099"/>
        </a:xfrm>
        <a:prstGeom prst="round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a:solidFill>
                <a:schemeClr val="tx2"/>
              </a:solidFill>
              <a:effectLst/>
              <a:latin typeface="Aptos" panose="020B0004020202020204" pitchFamily="34" charset="0"/>
              <a:ea typeface="+mn-ea"/>
              <a:cs typeface="+mn-cs"/>
            </a:rPr>
            <a:t>TOTAL BOOKINGS</a:t>
          </a:r>
          <a:endParaRPr lang="en-US" sz="1400" b="1">
            <a:solidFill>
              <a:schemeClr val="tx2"/>
            </a:solidFill>
            <a:effectLst/>
            <a:latin typeface="Aptos" panose="020B0004020202020204" pitchFamily="34" charset="0"/>
          </a:endParaRPr>
        </a:p>
        <a:p>
          <a:pPr algn="l"/>
          <a:endParaRPr lang="en-US" sz="1100" b="0" i="0" u="none" strike="noStrike">
            <a:solidFill>
              <a:srgbClr val="000000"/>
            </a:solidFill>
            <a:latin typeface="Calibri"/>
            <a:ea typeface="Calibri"/>
            <a:cs typeface="Calibri"/>
          </a:endParaRPr>
        </a:p>
        <a:p>
          <a:pPr algn="ctr"/>
          <a:fld id="{C641FB32-8D22-4641-9F87-DEDF9C6ECFDB}" type="TxLink">
            <a:rPr lang="en-US" sz="2400" b="1" i="0" u="none" strike="noStrike">
              <a:solidFill>
                <a:schemeClr val="tx2"/>
              </a:solidFill>
              <a:latin typeface="Aptos" panose="020B0004020202020204" pitchFamily="34" charset="0"/>
              <a:ea typeface="Calibri"/>
              <a:cs typeface="Calibri"/>
            </a:rPr>
            <a:pPr algn="ctr"/>
            <a:t>1000</a:t>
          </a:fld>
          <a:endParaRPr lang="en-US" sz="2400" b="1">
            <a:solidFill>
              <a:schemeClr val="tx2"/>
            </a:solidFill>
            <a:latin typeface="Aptos" panose="020B0004020202020204" pitchFamily="34" charset="0"/>
          </a:endParaRPr>
        </a:p>
      </xdr:txBody>
    </xdr:sp>
    <xdr:clientData/>
  </xdr:twoCellAnchor>
  <xdr:twoCellAnchor>
    <xdr:from>
      <xdr:col>11</xdr:col>
      <xdr:colOff>226353</xdr:colOff>
      <xdr:row>5</xdr:row>
      <xdr:rowOff>19538</xdr:rowOff>
    </xdr:from>
    <xdr:to>
      <xdr:col>14</xdr:col>
      <xdr:colOff>230647</xdr:colOff>
      <xdr:row>10</xdr:row>
      <xdr:rowOff>68406</xdr:rowOff>
    </xdr:to>
    <xdr:sp macro="" textlink="$AA$6">
      <xdr:nvSpPr>
        <xdr:cNvPr id="6" name="Rectangle: Rounded Corners 5">
          <a:extLst>
            <a:ext uri="{FF2B5EF4-FFF2-40B4-BE49-F238E27FC236}">
              <a16:creationId xmlns:a16="http://schemas.microsoft.com/office/drawing/2014/main" id="{F2902FC8-52CD-4A78-AC8F-DF44DC101310}"/>
            </a:ext>
          </a:extLst>
        </xdr:cNvPr>
        <xdr:cNvSpPr/>
      </xdr:nvSpPr>
      <xdr:spPr>
        <a:xfrm>
          <a:off x="7426276" y="1397000"/>
          <a:ext cx="1821371" cy="1055098"/>
        </a:xfrm>
        <a:prstGeom prst="round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a:solidFill>
                <a:schemeClr val="tx2"/>
              </a:solidFill>
              <a:effectLst/>
              <a:latin typeface="Aptos" panose="020B0004020202020204" pitchFamily="34" charset="0"/>
              <a:ea typeface="+mn-ea"/>
              <a:cs typeface="+mn-cs"/>
            </a:rPr>
            <a:t>SEATS</a:t>
          </a:r>
          <a:r>
            <a:rPr lang="en-US" sz="1400" b="1" i="0" baseline="0">
              <a:solidFill>
                <a:schemeClr val="tx2"/>
              </a:solidFill>
              <a:effectLst/>
              <a:latin typeface="Aptos" panose="020B0004020202020204" pitchFamily="34" charset="0"/>
              <a:ea typeface="+mn-ea"/>
              <a:cs typeface="+mn-cs"/>
            </a:rPr>
            <a:t> BOOKED</a:t>
          </a:r>
        </a:p>
        <a:p>
          <a:pPr algn="ctr"/>
          <a:endParaRPr lang="en-US" sz="1400" b="1" i="0" baseline="0">
            <a:solidFill>
              <a:schemeClr val="tx2"/>
            </a:solidFill>
            <a:effectLst/>
            <a:latin typeface="Aptos" panose="020B0004020202020204" pitchFamily="34" charset="0"/>
            <a:ea typeface="+mn-ea"/>
            <a:cs typeface="+mn-cs"/>
          </a:endParaRPr>
        </a:p>
        <a:p>
          <a:pPr algn="ctr"/>
          <a:fld id="{82AAF501-8C02-42C5-B96E-6BD19B184A09}" type="TxLink">
            <a:rPr lang="en-US" sz="2400" b="1" i="0" u="none" strike="noStrike">
              <a:solidFill>
                <a:schemeClr val="tx2"/>
              </a:solidFill>
              <a:latin typeface="Aptos" panose="020B0004020202020204" pitchFamily="34" charset="0"/>
              <a:ea typeface="Calibri"/>
              <a:cs typeface="Calibri"/>
            </a:rPr>
            <a:pPr algn="ctr"/>
            <a:t>3450</a:t>
          </a:fld>
          <a:endParaRPr lang="en-US" sz="2400" b="1">
            <a:solidFill>
              <a:schemeClr val="tx2"/>
            </a:solidFill>
            <a:latin typeface="Aptos" panose="020B0004020202020204" pitchFamily="34" charset="0"/>
          </a:endParaRPr>
        </a:p>
      </xdr:txBody>
    </xdr:sp>
    <xdr:clientData/>
  </xdr:twoCellAnchor>
  <xdr:twoCellAnchor>
    <xdr:from>
      <xdr:col>14</xdr:col>
      <xdr:colOff>429542</xdr:colOff>
      <xdr:row>5</xdr:row>
      <xdr:rowOff>9877</xdr:rowOff>
    </xdr:from>
    <xdr:to>
      <xdr:col>17</xdr:col>
      <xdr:colOff>433834</xdr:colOff>
      <xdr:row>10</xdr:row>
      <xdr:rowOff>56224</xdr:rowOff>
    </xdr:to>
    <xdr:sp macro="" textlink="$AA$7">
      <xdr:nvSpPr>
        <xdr:cNvPr id="7" name="Rectangle: Rounded Corners 6">
          <a:extLst>
            <a:ext uri="{FF2B5EF4-FFF2-40B4-BE49-F238E27FC236}">
              <a16:creationId xmlns:a16="http://schemas.microsoft.com/office/drawing/2014/main" id="{AD36B975-EB02-4249-BDB5-A3DD369B79CB}"/>
            </a:ext>
          </a:extLst>
        </xdr:cNvPr>
        <xdr:cNvSpPr/>
      </xdr:nvSpPr>
      <xdr:spPr>
        <a:xfrm>
          <a:off x="9446542" y="1455723"/>
          <a:ext cx="1821369" cy="1052578"/>
        </a:xfrm>
        <a:prstGeom prst="round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a:solidFill>
                <a:schemeClr val="tx2"/>
              </a:solidFill>
              <a:effectLst/>
              <a:latin typeface="Aptos" panose="020B0004020202020204" pitchFamily="34" charset="0"/>
              <a:ea typeface="+mn-ea"/>
              <a:cs typeface="+mn-cs"/>
            </a:rPr>
            <a:t>AVG</a:t>
          </a:r>
          <a:r>
            <a:rPr lang="en-US" sz="1400" b="1" i="0" baseline="0">
              <a:solidFill>
                <a:schemeClr val="tx2"/>
              </a:solidFill>
              <a:effectLst/>
              <a:latin typeface="Aptos" panose="020B0004020202020204" pitchFamily="34" charset="0"/>
              <a:ea typeface="+mn-ea"/>
              <a:cs typeface="+mn-cs"/>
            </a:rPr>
            <a:t>  AMOUNT</a:t>
          </a:r>
        </a:p>
        <a:p>
          <a:pPr algn="ctr"/>
          <a:endParaRPr lang="en-US" sz="1400" b="1" i="0" baseline="0">
            <a:solidFill>
              <a:schemeClr val="tx2"/>
            </a:solidFill>
            <a:effectLst/>
            <a:latin typeface="Aptos" panose="020B0004020202020204" pitchFamily="34" charset="0"/>
            <a:ea typeface="+mn-ea"/>
            <a:cs typeface="+mn-cs"/>
          </a:endParaRPr>
        </a:p>
        <a:p>
          <a:pPr algn="ctr"/>
          <a:fld id="{4F9A5AFA-9BC8-41F3-BA72-D4DCC17BE2D6}" type="TxLink">
            <a:rPr lang="en-US" sz="2400" b="1" i="0" u="none" strike="noStrike">
              <a:solidFill>
                <a:schemeClr val="tx2"/>
              </a:solidFill>
              <a:latin typeface="Aptos" panose="020B0004020202020204" pitchFamily="34" charset="0"/>
              <a:ea typeface="Calibri"/>
              <a:cs typeface="Calibri"/>
            </a:rPr>
            <a:pPr algn="ctr"/>
            <a:t>29.676</a:t>
          </a:fld>
          <a:endParaRPr lang="en-US" sz="1400" b="1">
            <a:solidFill>
              <a:schemeClr val="tx2"/>
            </a:solidFill>
            <a:latin typeface="Aptos" panose="020B0004020202020204" pitchFamily="34" charset="0"/>
          </a:endParaRPr>
        </a:p>
      </xdr:txBody>
    </xdr:sp>
    <xdr:clientData/>
  </xdr:twoCellAnchor>
  <xdr:twoCellAnchor>
    <xdr:from>
      <xdr:col>3</xdr:col>
      <xdr:colOff>304116</xdr:colOff>
      <xdr:row>10</xdr:row>
      <xdr:rowOff>97426</xdr:rowOff>
    </xdr:from>
    <xdr:to>
      <xdr:col>11</xdr:col>
      <xdr:colOff>235787</xdr:colOff>
      <xdr:row>23</xdr:row>
      <xdr:rowOff>182802</xdr:rowOff>
    </xdr:to>
    <xdr:graphicFrame macro="">
      <xdr:nvGraphicFramePr>
        <xdr:cNvPr id="14" name="Chart 13">
          <a:extLst>
            <a:ext uri="{FF2B5EF4-FFF2-40B4-BE49-F238E27FC236}">
              <a16:creationId xmlns:a16="http://schemas.microsoft.com/office/drawing/2014/main" id="{E54FFC8F-561A-463A-9BE7-5880B992E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9477</xdr:colOff>
      <xdr:row>0</xdr:row>
      <xdr:rowOff>0</xdr:rowOff>
    </xdr:from>
    <xdr:to>
      <xdr:col>25</xdr:col>
      <xdr:colOff>9477</xdr:colOff>
      <xdr:row>39</xdr:row>
      <xdr:rowOff>91908</xdr:rowOff>
    </xdr:to>
    <xdr:sp macro="" textlink="">
      <xdr:nvSpPr>
        <xdr:cNvPr id="15" name="Rectangle: Rounded Corners 14">
          <a:extLst>
            <a:ext uri="{FF2B5EF4-FFF2-40B4-BE49-F238E27FC236}">
              <a16:creationId xmlns:a16="http://schemas.microsoft.com/office/drawing/2014/main" id="{C5747906-5F57-3821-5F28-5B1D0572C811}"/>
            </a:ext>
          </a:extLst>
        </xdr:cNvPr>
        <xdr:cNvSpPr/>
      </xdr:nvSpPr>
      <xdr:spPr>
        <a:xfrm>
          <a:off x="12681044" y="0"/>
          <a:ext cx="3032836" cy="8223699"/>
        </a:xfrm>
        <a:prstGeom prst="roundRect">
          <a:avLst>
            <a:gd name="adj" fmla="val 6961"/>
          </a:avLst>
        </a:prstGeom>
        <a:solidFill>
          <a:schemeClr val="accent1">
            <a:lumMod val="40000"/>
            <a:lumOff val="60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192941</xdr:colOff>
      <xdr:row>23</xdr:row>
      <xdr:rowOff>132687</xdr:rowOff>
    </xdr:from>
    <xdr:to>
      <xdr:col>11</xdr:col>
      <xdr:colOff>246418</xdr:colOff>
      <xdr:row>41</xdr:row>
      <xdr:rowOff>68474</xdr:rowOff>
    </xdr:to>
    <xdr:graphicFrame macro="">
      <xdr:nvGraphicFramePr>
        <xdr:cNvPr id="16" name="Chart 15">
          <a:extLst>
            <a:ext uri="{FF2B5EF4-FFF2-40B4-BE49-F238E27FC236}">
              <a16:creationId xmlns:a16="http://schemas.microsoft.com/office/drawing/2014/main" id="{9271F733-6609-446D-9247-95AF38A45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566608</xdr:colOff>
      <xdr:row>2</xdr:row>
      <xdr:rowOff>175846</xdr:rowOff>
    </xdr:from>
    <xdr:to>
      <xdr:col>24</xdr:col>
      <xdr:colOff>426399</xdr:colOff>
      <xdr:row>15</xdr:row>
      <xdr:rowOff>130950</xdr:rowOff>
    </xdr:to>
    <xdr:graphicFrame macro="">
      <xdr:nvGraphicFramePr>
        <xdr:cNvPr id="21" name="Chart 20">
          <a:extLst>
            <a:ext uri="{FF2B5EF4-FFF2-40B4-BE49-F238E27FC236}">
              <a16:creationId xmlns:a16="http://schemas.microsoft.com/office/drawing/2014/main" id="{0FF24778-8BF0-4B78-9090-6419C33EF0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xdr:colOff>
      <xdr:row>0</xdr:row>
      <xdr:rowOff>0</xdr:rowOff>
    </xdr:from>
    <xdr:to>
      <xdr:col>20</xdr:col>
      <xdr:colOff>0</xdr:colOff>
      <xdr:row>4</xdr:row>
      <xdr:rowOff>0</xdr:rowOff>
    </xdr:to>
    <xdr:sp macro="" textlink="">
      <xdr:nvSpPr>
        <xdr:cNvPr id="27" name="Rectangle: Rounded Corners 26">
          <a:extLst>
            <a:ext uri="{FF2B5EF4-FFF2-40B4-BE49-F238E27FC236}">
              <a16:creationId xmlns:a16="http://schemas.microsoft.com/office/drawing/2014/main" id="{477DAD86-5668-117A-7397-1D75DB2B658A}"/>
            </a:ext>
          </a:extLst>
        </xdr:cNvPr>
        <xdr:cNvSpPr/>
      </xdr:nvSpPr>
      <xdr:spPr>
        <a:xfrm>
          <a:off x="2359926" y="0"/>
          <a:ext cx="10311641" cy="1175224"/>
        </a:xfrm>
        <a:prstGeom prst="roundRect">
          <a:avLst>
            <a:gd name="adj" fmla="val 13782"/>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464402</xdr:colOff>
      <xdr:row>1</xdr:row>
      <xdr:rowOff>56865</xdr:rowOff>
    </xdr:from>
    <xdr:to>
      <xdr:col>18</xdr:col>
      <xdr:colOff>578134</xdr:colOff>
      <xdr:row>3</xdr:row>
      <xdr:rowOff>56865</xdr:rowOff>
    </xdr:to>
    <xdr:sp macro="" textlink="">
      <xdr:nvSpPr>
        <xdr:cNvPr id="29" name="TextBox 28">
          <a:extLst>
            <a:ext uri="{FF2B5EF4-FFF2-40B4-BE49-F238E27FC236}">
              <a16:creationId xmlns:a16="http://schemas.microsoft.com/office/drawing/2014/main" id="{FC5E8FEB-10C2-C712-04A7-CEEEB5B186AE}"/>
            </a:ext>
          </a:extLst>
        </xdr:cNvPr>
        <xdr:cNvSpPr txBox="1"/>
      </xdr:nvSpPr>
      <xdr:spPr>
        <a:xfrm>
          <a:off x="2331492" y="236940"/>
          <a:ext cx="9705075" cy="663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2400" b="1" i="0" u="none" strike="noStrike">
              <a:solidFill>
                <a:schemeClr val="tx2"/>
              </a:solidFill>
              <a:effectLst/>
              <a:latin typeface="Aptos" panose="020B0004020202020204" pitchFamily="34" charset="0"/>
              <a:ea typeface="+mn-ea"/>
              <a:cs typeface="+mn-cs"/>
            </a:rPr>
            <a:t>MOVIE BOOKING ANALYTICS</a:t>
          </a:r>
          <a:r>
            <a:rPr lang="en-US" sz="2400" b="1">
              <a:solidFill>
                <a:schemeClr val="tx2"/>
              </a:solidFill>
              <a:latin typeface="Aptos" panose="020B0004020202020204" pitchFamily="34" charset="0"/>
            </a:rPr>
            <a:t> </a:t>
          </a:r>
        </a:p>
      </xdr:txBody>
    </xdr:sp>
    <xdr:clientData/>
  </xdr:twoCellAnchor>
  <xdr:twoCellAnchor editAs="oneCell">
    <xdr:from>
      <xdr:col>20</xdr:col>
      <xdr:colOff>144054</xdr:colOff>
      <xdr:row>27</xdr:row>
      <xdr:rowOff>28662</xdr:rowOff>
    </xdr:from>
    <xdr:to>
      <xdr:col>24</xdr:col>
      <xdr:colOff>268981</xdr:colOff>
      <xdr:row>32</xdr:row>
      <xdr:rowOff>113731</xdr:rowOff>
    </xdr:to>
    <mc:AlternateContent xmlns:mc="http://schemas.openxmlformats.org/markup-compatibility/2006" xmlns:a14="http://schemas.microsoft.com/office/drawing/2010/main">
      <mc:Choice Requires="a14">
        <xdr:graphicFrame macro="">
          <xdr:nvGraphicFramePr>
            <xdr:cNvPr id="30" name="booking_status">
              <a:extLst>
                <a:ext uri="{FF2B5EF4-FFF2-40B4-BE49-F238E27FC236}">
                  <a16:creationId xmlns:a16="http://schemas.microsoft.com/office/drawing/2014/main" id="{FA44D8B8-5E81-9B9B-F03E-BCFBE0D95FC8}"/>
                </a:ext>
              </a:extLst>
            </xdr:cNvPr>
            <xdr:cNvGraphicFramePr/>
          </xdr:nvGraphicFramePr>
          <xdr:xfrm>
            <a:off x="0" y="0"/>
            <a:ext cx="0" cy="0"/>
          </xdr:xfrm>
          <a:graphic>
            <a:graphicData uri="http://schemas.microsoft.com/office/drawing/2010/slicer">
              <sle:slicer xmlns:sle="http://schemas.microsoft.com/office/drawing/2010/slicer" name="booking_status"/>
            </a:graphicData>
          </a:graphic>
        </xdr:graphicFrame>
      </mc:Choice>
      <mc:Fallback xmlns="">
        <xdr:sp macro="" textlink="">
          <xdr:nvSpPr>
            <xdr:cNvPr id="0" name=""/>
            <xdr:cNvSpPr>
              <a:spLocks noTextEdit="1"/>
            </xdr:cNvSpPr>
          </xdr:nvSpPr>
          <xdr:spPr>
            <a:xfrm>
              <a:off x="12825648" y="6065763"/>
              <a:ext cx="2554492" cy="1005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158035</xdr:colOff>
      <xdr:row>33</xdr:row>
      <xdr:rowOff>65615</xdr:rowOff>
    </xdr:from>
    <xdr:to>
      <xdr:col>24</xdr:col>
      <xdr:colOff>289065</xdr:colOff>
      <xdr:row>39</xdr:row>
      <xdr:rowOff>0</xdr:rowOff>
    </xdr:to>
    <mc:AlternateContent xmlns:mc="http://schemas.openxmlformats.org/markup-compatibility/2006" xmlns:a14="http://schemas.microsoft.com/office/drawing/2010/main">
      <mc:Choice Requires="a14">
        <xdr:graphicFrame macro="">
          <xdr:nvGraphicFramePr>
            <xdr:cNvPr id="34" name="theatre_name">
              <a:extLst>
                <a:ext uri="{FF2B5EF4-FFF2-40B4-BE49-F238E27FC236}">
                  <a16:creationId xmlns:a16="http://schemas.microsoft.com/office/drawing/2014/main" id="{AC52D4F8-232F-78BC-E6E4-F1E02D20D388}"/>
                </a:ext>
              </a:extLst>
            </xdr:cNvPr>
            <xdr:cNvGraphicFramePr/>
          </xdr:nvGraphicFramePr>
          <xdr:xfrm>
            <a:off x="0" y="0"/>
            <a:ext cx="0" cy="0"/>
          </xdr:xfrm>
          <a:graphic>
            <a:graphicData uri="http://schemas.microsoft.com/office/drawing/2010/slicer">
              <sle:slicer xmlns:sle="http://schemas.microsoft.com/office/drawing/2010/slicer" name="theatre_name"/>
            </a:graphicData>
          </a:graphic>
        </xdr:graphicFrame>
      </mc:Choice>
      <mc:Fallback xmlns="">
        <xdr:sp macro="" textlink="">
          <xdr:nvSpPr>
            <xdr:cNvPr id="0" name=""/>
            <xdr:cNvSpPr>
              <a:spLocks noTextEdit="1"/>
            </xdr:cNvSpPr>
          </xdr:nvSpPr>
          <xdr:spPr>
            <a:xfrm>
              <a:off x="12839629" y="7207064"/>
              <a:ext cx="2560595" cy="10387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189552</xdr:colOff>
      <xdr:row>24</xdr:row>
      <xdr:rowOff>18955</xdr:rowOff>
    </xdr:from>
    <xdr:to>
      <xdr:col>19</xdr:col>
      <xdr:colOff>269165</xdr:colOff>
      <xdr:row>41</xdr:row>
      <xdr:rowOff>28433</xdr:rowOff>
    </xdr:to>
    <xdr:graphicFrame macro="">
      <xdr:nvGraphicFramePr>
        <xdr:cNvPr id="2" name="Chart 1">
          <a:extLst>
            <a:ext uri="{FF2B5EF4-FFF2-40B4-BE49-F238E27FC236}">
              <a16:creationId xmlns:a16="http://schemas.microsoft.com/office/drawing/2014/main" id="{7B6CAF10-21A4-4A92-8A6E-6C3D956C4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302380</xdr:colOff>
      <xdr:row>11</xdr:row>
      <xdr:rowOff>10079</xdr:rowOff>
    </xdr:from>
    <xdr:to>
      <xdr:col>19</xdr:col>
      <xdr:colOff>36285</xdr:colOff>
      <xdr:row>23</xdr:row>
      <xdr:rowOff>132644</xdr:rowOff>
    </xdr:to>
    <xdr:graphicFrame macro="">
      <xdr:nvGraphicFramePr>
        <xdr:cNvPr id="8" name="Chart 7">
          <a:extLst>
            <a:ext uri="{FF2B5EF4-FFF2-40B4-BE49-F238E27FC236}">
              <a16:creationId xmlns:a16="http://schemas.microsoft.com/office/drawing/2014/main" id="{345010B1-C329-43D7-9FFC-C4586380DA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164611</xdr:colOff>
      <xdr:row>21</xdr:row>
      <xdr:rowOff>23935</xdr:rowOff>
    </xdr:from>
    <xdr:to>
      <xdr:col>24</xdr:col>
      <xdr:colOff>302845</xdr:colOff>
      <xdr:row>26</xdr:row>
      <xdr:rowOff>117231</xdr:rowOff>
    </xdr:to>
    <mc:AlternateContent xmlns:mc="http://schemas.openxmlformats.org/markup-compatibility/2006" xmlns:a14="http://schemas.microsoft.com/office/drawing/2010/main">
      <mc:Choice Requires="a14">
        <xdr:graphicFrame macro="">
          <xdr:nvGraphicFramePr>
            <xdr:cNvPr id="11" name="movie_name 2">
              <a:extLst>
                <a:ext uri="{FF2B5EF4-FFF2-40B4-BE49-F238E27FC236}">
                  <a16:creationId xmlns:a16="http://schemas.microsoft.com/office/drawing/2014/main" id="{75F1F37B-FD06-71A8-1FE0-6C773D8C300C}"/>
                </a:ext>
              </a:extLst>
            </xdr:cNvPr>
            <xdr:cNvGraphicFramePr/>
          </xdr:nvGraphicFramePr>
          <xdr:xfrm>
            <a:off x="0" y="0"/>
            <a:ext cx="0" cy="0"/>
          </xdr:xfrm>
          <a:graphic>
            <a:graphicData uri="http://schemas.microsoft.com/office/drawing/2010/slicer">
              <sle:slicer xmlns:sle="http://schemas.microsoft.com/office/drawing/2010/slicer" name="movie_name 2"/>
            </a:graphicData>
          </a:graphic>
        </xdr:graphicFrame>
      </mc:Choice>
      <mc:Fallback xmlns="">
        <xdr:sp macro="" textlink="">
          <xdr:nvSpPr>
            <xdr:cNvPr id="0" name=""/>
            <xdr:cNvSpPr>
              <a:spLocks noTextEdit="1"/>
            </xdr:cNvSpPr>
          </xdr:nvSpPr>
          <xdr:spPr>
            <a:xfrm>
              <a:off x="12815765" y="4859705"/>
              <a:ext cx="2561003" cy="11092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166076</xdr:colOff>
      <xdr:row>15</xdr:row>
      <xdr:rowOff>185613</xdr:rowOff>
    </xdr:from>
    <xdr:to>
      <xdr:col>24</xdr:col>
      <xdr:colOff>293076</xdr:colOff>
      <xdr:row>20</xdr:row>
      <xdr:rowOff>156307</xdr:rowOff>
    </xdr:to>
    <mc:AlternateContent xmlns:mc="http://schemas.openxmlformats.org/markup-compatibility/2006" xmlns:a14="http://schemas.microsoft.com/office/drawing/2010/main">
      <mc:Choice Requires="a14">
        <xdr:graphicFrame macro="">
          <xdr:nvGraphicFramePr>
            <xdr:cNvPr id="12" name="month 2">
              <a:extLst>
                <a:ext uri="{FF2B5EF4-FFF2-40B4-BE49-F238E27FC236}">
                  <a16:creationId xmlns:a16="http://schemas.microsoft.com/office/drawing/2014/main" id="{1B11459E-41C5-4EFF-99D2-D64F883A11CB}"/>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2817230" y="3653690"/>
              <a:ext cx="2549769" cy="11527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45420</xdr:colOff>
      <xdr:row>0</xdr:row>
      <xdr:rowOff>0</xdr:rowOff>
    </xdr:from>
    <xdr:to>
      <xdr:col>19</xdr:col>
      <xdr:colOff>168089</xdr:colOff>
      <xdr:row>4</xdr:row>
      <xdr:rowOff>85561</xdr:rowOff>
    </xdr:to>
    <xdr:sp macro="" textlink="">
      <xdr:nvSpPr>
        <xdr:cNvPr id="2" name="Rectangle: Rounded Corners 1">
          <a:extLst>
            <a:ext uri="{FF2B5EF4-FFF2-40B4-BE49-F238E27FC236}">
              <a16:creationId xmlns:a16="http://schemas.microsoft.com/office/drawing/2014/main" id="{AF33EA7A-A087-1E94-CDE5-2130F23B5217}"/>
            </a:ext>
          </a:extLst>
        </xdr:cNvPr>
        <xdr:cNvSpPr/>
      </xdr:nvSpPr>
      <xdr:spPr>
        <a:xfrm>
          <a:off x="1866376" y="0"/>
          <a:ext cx="9834434" cy="832620"/>
        </a:xfrm>
        <a:prstGeom prst="roundRect">
          <a:avLst>
            <a:gd name="adj" fmla="val 14286"/>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3</xdr:col>
      <xdr:colOff>396875</xdr:colOff>
      <xdr:row>0</xdr:row>
      <xdr:rowOff>43295</xdr:rowOff>
    </xdr:from>
    <xdr:to>
      <xdr:col>16</xdr:col>
      <xdr:colOff>331932</xdr:colOff>
      <xdr:row>4</xdr:row>
      <xdr:rowOff>21647</xdr:rowOff>
    </xdr:to>
    <xdr:sp macro="" textlink="">
      <xdr:nvSpPr>
        <xdr:cNvPr id="3" name="TextBox 2">
          <a:extLst>
            <a:ext uri="{FF2B5EF4-FFF2-40B4-BE49-F238E27FC236}">
              <a16:creationId xmlns:a16="http://schemas.microsoft.com/office/drawing/2014/main" id="{8E9ED103-18C0-D627-68CE-E4EBCD710183}"/>
            </a:ext>
          </a:extLst>
        </xdr:cNvPr>
        <xdr:cNvSpPr txBox="1"/>
      </xdr:nvSpPr>
      <xdr:spPr>
        <a:xfrm>
          <a:off x="2215284" y="43295"/>
          <a:ext cx="7814830" cy="728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1"/>
              </a:solidFill>
              <a:latin typeface="Aptos" panose="020B0004020202020204" pitchFamily="34" charset="0"/>
            </a:rPr>
            <a:t> 			MOVIE</a:t>
          </a:r>
          <a:r>
            <a:rPr lang="en-US" sz="2400" b="1" baseline="0">
              <a:solidFill>
                <a:schemeClr val="bg1"/>
              </a:solidFill>
              <a:latin typeface="Aptos" panose="020B0004020202020204" pitchFamily="34" charset="0"/>
            </a:rPr>
            <a:t> PERFORMANCE</a:t>
          </a:r>
        </a:p>
        <a:p>
          <a:pPr algn="ctr"/>
          <a:r>
            <a:rPr lang="en-US" sz="1100" b="1" baseline="0">
              <a:solidFill>
                <a:schemeClr val="bg1"/>
              </a:solidFill>
              <a:latin typeface="Aptos" panose="020B0004020202020204" pitchFamily="34" charset="0"/>
            </a:rPr>
            <a:t>			Discover the best-performing movies</a:t>
          </a:r>
        </a:p>
        <a:p>
          <a:pPr algn="ctr"/>
          <a:endParaRPr lang="en-US" sz="2000" b="1">
            <a:solidFill>
              <a:schemeClr val="bg1"/>
            </a:solidFill>
            <a:latin typeface="Aptos" panose="020B0004020202020204" pitchFamily="34" charset="0"/>
          </a:endParaRPr>
        </a:p>
      </xdr:txBody>
    </xdr:sp>
    <xdr:clientData/>
  </xdr:twoCellAnchor>
  <xdr:twoCellAnchor>
    <xdr:from>
      <xdr:col>7</xdr:col>
      <xdr:colOff>68308</xdr:colOff>
      <xdr:row>4</xdr:row>
      <xdr:rowOff>120187</xdr:rowOff>
    </xdr:from>
    <xdr:to>
      <xdr:col>10</xdr:col>
      <xdr:colOff>476248</xdr:colOff>
      <xdr:row>9</xdr:row>
      <xdr:rowOff>44098</xdr:rowOff>
    </xdr:to>
    <xdr:sp macro="" textlink="$X$2">
      <xdr:nvSpPr>
        <xdr:cNvPr id="4" name="Rectangle: Rounded Corners 3">
          <a:extLst>
            <a:ext uri="{FF2B5EF4-FFF2-40B4-BE49-F238E27FC236}">
              <a16:creationId xmlns:a16="http://schemas.microsoft.com/office/drawing/2014/main" id="{FE7D1402-A3A6-3A2F-2835-AF8AB2BBB92C}"/>
            </a:ext>
          </a:extLst>
        </xdr:cNvPr>
        <xdr:cNvSpPr/>
      </xdr:nvSpPr>
      <xdr:spPr>
        <a:xfrm>
          <a:off x="4328100" y="861020"/>
          <a:ext cx="2233565" cy="1061620"/>
        </a:xfrm>
        <a:prstGeom prst="roundRect">
          <a:avLst>
            <a:gd name="adj" fmla="val 15705"/>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a:solidFill>
                <a:schemeClr val="bg1"/>
              </a:solidFill>
              <a:effectLst/>
              <a:latin typeface="Aptos" panose="020B0004020202020204" pitchFamily="34" charset="0"/>
              <a:ea typeface="+mn-ea"/>
              <a:cs typeface="+mn-cs"/>
            </a:rPr>
            <a:t>TOP</a:t>
          </a:r>
          <a:r>
            <a:rPr lang="en-US" sz="1400" b="1" i="0" baseline="0">
              <a:solidFill>
                <a:schemeClr val="bg1"/>
              </a:solidFill>
              <a:effectLst/>
              <a:latin typeface="Aptos" panose="020B0004020202020204" pitchFamily="34" charset="0"/>
              <a:ea typeface="+mn-ea"/>
              <a:cs typeface="+mn-cs"/>
            </a:rPr>
            <a:t> MOVIE</a:t>
          </a:r>
        </a:p>
        <a:p>
          <a:pPr algn="ctr"/>
          <a:endParaRPr lang="en-US" sz="1400" b="1" i="0" baseline="0">
            <a:solidFill>
              <a:schemeClr val="bg1"/>
            </a:solidFill>
            <a:effectLst/>
            <a:latin typeface="Aptos" panose="020B0004020202020204" pitchFamily="34" charset="0"/>
            <a:ea typeface="+mn-ea"/>
            <a:cs typeface="+mn-cs"/>
          </a:endParaRPr>
        </a:p>
        <a:p>
          <a:pPr algn="ctr"/>
          <a:fld id="{CCD23BA4-4467-4F47-A6A4-13F2D6814A68}" type="TxLink">
            <a:rPr lang="en-US" sz="2400" b="1" i="0" u="none" strike="noStrike">
              <a:solidFill>
                <a:schemeClr val="bg1"/>
              </a:solidFill>
              <a:latin typeface="Aptos" panose="020B0004020202020204" pitchFamily="34" charset="0"/>
              <a:ea typeface="Calibri"/>
              <a:cs typeface="Calibri"/>
            </a:rPr>
            <a:pPr algn="ctr"/>
            <a:t>Magic Planet</a:t>
          </a:fld>
          <a:endParaRPr lang="en-US" sz="2400" b="1">
            <a:solidFill>
              <a:schemeClr val="bg1"/>
            </a:solidFill>
            <a:latin typeface="Aptos" panose="020B0004020202020204" pitchFamily="34" charset="0"/>
          </a:endParaRPr>
        </a:p>
      </xdr:txBody>
    </xdr:sp>
    <xdr:clientData/>
  </xdr:twoCellAnchor>
  <xdr:twoCellAnchor>
    <xdr:from>
      <xdr:col>12</xdr:col>
      <xdr:colOff>145261</xdr:colOff>
      <xdr:row>4</xdr:row>
      <xdr:rowOff>121913</xdr:rowOff>
    </xdr:from>
    <xdr:to>
      <xdr:col>15</xdr:col>
      <xdr:colOff>564444</xdr:colOff>
      <xdr:row>9</xdr:row>
      <xdr:rowOff>35275</xdr:rowOff>
    </xdr:to>
    <xdr:sp macro="" textlink="$X$3">
      <xdr:nvSpPr>
        <xdr:cNvPr id="5" name="Rectangle: Rounded Corners 4">
          <a:extLst>
            <a:ext uri="{FF2B5EF4-FFF2-40B4-BE49-F238E27FC236}">
              <a16:creationId xmlns:a16="http://schemas.microsoft.com/office/drawing/2014/main" id="{0D391341-5406-4B8E-82AE-A229C18677CD}"/>
            </a:ext>
          </a:extLst>
        </xdr:cNvPr>
        <xdr:cNvSpPr/>
      </xdr:nvSpPr>
      <xdr:spPr>
        <a:xfrm>
          <a:off x="7447761" y="862746"/>
          <a:ext cx="2244808" cy="1051071"/>
        </a:xfrm>
        <a:prstGeom prst="roundRect">
          <a:avLst>
            <a:gd name="adj" fmla="val 15705"/>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a:solidFill>
                <a:schemeClr val="bg1"/>
              </a:solidFill>
              <a:effectLst/>
              <a:latin typeface="Aptos" panose="020B0004020202020204" pitchFamily="34" charset="0"/>
              <a:ea typeface="+mn-ea"/>
              <a:cs typeface="+mn-cs"/>
            </a:rPr>
            <a:t>HIGHEST REVENUE</a:t>
          </a:r>
          <a:endParaRPr lang="en-US" sz="2400" b="1" i="0">
            <a:solidFill>
              <a:schemeClr val="bg1"/>
            </a:solidFill>
            <a:effectLst/>
            <a:latin typeface="Aptos" panose="020B0004020202020204" pitchFamily="34" charset="0"/>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400" b="1" i="0" u="none" strike="noStrike">
            <a:solidFill>
              <a:schemeClr val="bg1"/>
            </a:solidFill>
            <a:latin typeface="Aptos" panose="020B0004020202020204" pitchFamily="34" charset="0"/>
            <a:ea typeface="Calibri"/>
            <a:cs typeface="Calibri"/>
          </a:endParaRPr>
        </a:p>
        <a:p>
          <a:pPr algn="ctr"/>
          <a:fld id="{4FA36EF5-FBAA-4AAD-9228-535F8798445F}" type="TxLink">
            <a:rPr lang="en-US" sz="2400" b="1" i="0" u="none" strike="noStrike">
              <a:solidFill>
                <a:schemeClr val="bg1"/>
              </a:solidFill>
              <a:latin typeface="Aptos" panose="020B0004020202020204" pitchFamily="34" charset="0"/>
              <a:ea typeface="Calibri"/>
              <a:cs typeface="Calibri"/>
            </a:rPr>
            <a:pPr algn="ctr"/>
            <a:t>2001</a:t>
          </a:fld>
          <a:endParaRPr lang="en-US" sz="2400" b="1">
            <a:solidFill>
              <a:schemeClr val="bg1"/>
            </a:solidFill>
            <a:latin typeface="Aptos" panose="020B0004020202020204" pitchFamily="34" charset="0"/>
          </a:endParaRPr>
        </a:p>
      </xdr:txBody>
    </xdr:sp>
    <xdr:clientData/>
  </xdr:twoCellAnchor>
  <xdr:twoCellAnchor>
    <xdr:from>
      <xdr:col>3</xdr:col>
      <xdr:colOff>21828</xdr:colOff>
      <xdr:row>9</xdr:row>
      <xdr:rowOff>1</xdr:rowOff>
    </xdr:from>
    <xdr:to>
      <xdr:col>10</xdr:col>
      <xdr:colOff>414514</xdr:colOff>
      <xdr:row>26</xdr:row>
      <xdr:rowOff>79375</xdr:rowOff>
    </xdr:to>
    <xdr:graphicFrame macro="">
      <xdr:nvGraphicFramePr>
        <xdr:cNvPr id="17" name="Chart 16">
          <a:extLst>
            <a:ext uri="{FF2B5EF4-FFF2-40B4-BE49-F238E27FC236}">
              <a16:creationId xmlns:a16="http://schemas.microsoft.com/office/drawing/2014/main" id="{825B3612-6AC3-4FA9-BB24-AA6AE3BE83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160675</xdr:colOff>
      <xdr:row>0</xdr:row>
      <xdr:rowOff>0</xdr:rowOff>
    </xdr:from>
    <xdr:to>
      <xdr:col>22</xdr:col>
      <xdr:colOff>523394</xdr:colOff>
      <xdr:row>28</xdr:row>
      <xdr:rowOff>149412</xdr:rowOff>
    </xdr:to>
    <xdr:sp macro="" textlink="">
      <xdr:nvSpPr>
        <xdr:cNvPr id="19" name="Rectangle: Rounded Corners 18">
          <a:extLst>
            <a:ext uri="{FF2B5EF4-FFF2-40B4-BE49-F238E27FC236}">
              <a16:creationId xmlns:a16="http://schemas.microsoft.com/office/drawing/2014/main" id="{8140A1AA-5BD5-7E68-A587-141000677735}"/>
            </a:ext>
          </a:extLst>
        </xdr:cNvPr>
        <xdr:cNvSpPr/>
      </xdr:nvSpPr>
      <xdr:spPr>
        <a:xfrm>
          <a:off x="11693396" y="0"/>
          <a:ext cx="2183674" cy="6350000"/>
        </a:xfrm>
        <a:prstGeom prst="roundRect">
          <a:avLst>
            <a:gd name="adj" fmla="val 6619"/>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284046</xdr:colOff>
      <xdr:row>4</xdr:row>
      <xdr:rowOff>168088</xdr:rowOff>
    </xdr:from>
    <xdr:to>
      <xdr:col>22</xdr:col>
      <xdr:colOff>373530</xdr:colOff>
      <xdr:row>11</xdr:row>
      <xdr:rowOff>214780</xdr:rowOff>
    </xdr:to>
    <mc:AlternateContent xmlns:mc="http://schemas.openxmlformats.org/markup-compatibility/2006" xmlns:a14="http://schemas.microsoft.com/office/drawing/2010/main">
      <mc:Choice Requires="a14">
        <xdr:graphicFrame macro="">
          <xdr:nvGraphicFramePr>
            <xdr:cNvPr id="23" name="theatre_name 1">
              <a:extLst>
                <a:ext uri="{FF2B5EF4-FFF2-40B4-BE49-F238E27FC236}">
                  <a16:creationId xmlns:a16="http://schemas.microsoft.com/office/drawing/2014/main" id="{36707216-EBE2-C1CD-8091-FBCF9BEB1071}"/>
                </a:ext>
              </a:extLst>
            </xdr:cNvPr>
            <xdr:cNvGraphicFramePr/>
          </xdr:nvGraphicFramePr>
          <xdr:xfrm>
            <a:off x="0" y="0"/>
            <a:ext cx="0" cy="0"/>
          </xdr:xfrm>
          <a:graphic>
            <a:graphicData uri="http://schemas.microsoft.com/office/drawing/2010/slicer">
              <sle:slicer xmlns:sle="http://schemas.microsoft.com/office/drawing/2010/slicer" name="theatre_name 1"/>
            </a:graphicData>
          </a:graphic>
        </xdr:graphicFrame>
      </mc:Choice>
      <mc:Fallback xmlns="">
        <xdr:sp macro="" textlink="">
          <xdr:nvSpPr>
            <xdr:cNvPr id="0" name=""/>
            <xdr:cNvSpPr>
              <a:spLocks noTextEdit="1"/>
            </xdr:cNvSpPr>
          </xdr:nvSpPr>
          <xdr:spPr>
            <a:xfrm>
              <a:off x="11846338" y="908921"/>
              <a:ext cx="1915109" cy="1713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332691</xdr:colOff>
      <xdr:row>9</xdr:row>
      <xdr:rowOff>115711</xdr:rowOff>
    </xdr:from>
    <xdr:to>
      <xdr:col>18</xdr:col>
      <xdr:colOff>586592</xdr:colOff>
      <xdr:row>26</xdr:row>
      <xdr:rowOff>156687</xdr:rowOff>
    </xdr:to>
    <xdr:graphicFrame macro="">
      <xdr:nvGraphicFramePr>
        <xdr:cNvPr id="10" name="Chart 9">
          <a:extLst>
            <a:ext uri="{FF2B5EF4-FFF2-40B4-BE49-F238E27FC236}">
              <a16:creationId xmlns:a16="http://schemas.microsoft.com/office/drawing/2014/main" id="{B4632606-FF69-4DDE-B693-8AE984BAA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270455</xdr:colOff>
      <xdr:row>12</xdr:row>
      <xdr:rowOff>33430</xdr:rowOff>
    </xdr:from>
    <xdr:to>
      <xdr:col>22</xdr:col>
      <xdr:colOff>364192</xdr:colOff>
      <xdr:row>18</xdr:row>
      <xdr:rowOff>112059</xdr:rowOff>
    </xdr:to>
    <mc:AlternateContent xmlns:mc="http://schemas.openxmlformats.org/markup-compatibility/2006" xmlns:a14="http://schemas.microsoft.com/office/drawing/2010/main">
      <mc:Choice Requires="a14">
        <xdr:graphicFrame macro="">
          <xdr:nvGraphicFramePr>
            <xdr:cNvPr id="11" name="movie_name">
              <a:extLst>
                <a:ext uri="{FF2B5EF4-FFF2-40B4-BE49-F238E27FC236}">
                  <a16:creationId xmlns:a16="http://schemas.microsoft.com/office/drawing/2014/main" id="{37908D0E-8996-3DC6-C5E6-CFF34E3D2AF1}"/>
                </a:ext>
              </a:extLst>
            </xdr:cNvPr>
            <xdr:cNvGraphicFramePr/>
          </xdr:nvGraphicFramePr>
          <xdr:xfrm>
            <a:off x="0" y="0"/>
            <a:ext cx="0" cy="0"/>
          </xdr:xfrm>
          <a:graphic>
            <a:graphicData uri="http://schemas.microsoft.com/office/drawing/2010/slicer">
              <sle:slicer xmlns:sle="http://schemas.microsoft.com/office/drawing/2010/slicer" name="movie_name"/>
            </a:graphicData>
          </a:graphic>
        </xdr:graphicFrame>
      </mc:Choice>
      <mc:Fallback xmlns="">
        <xdr:sp macro="" textlink="">
          <xdr:nvSpPr>
            <xdr:cNvPr id="0" name=""/>
            <xdr:cNvSpPr>
              <a:spLocks noTextEdit="1"/>
            </xdr:cNvSpPr>
          </xdr:nvSpPr>
          <xdr:spPr>
            <a:xfrm>
              <a:off x="11832747" y="2705722"/>
              <a:ext cx="1919362" cy="16661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285750</xdr:colOff>
      <xdr:row>19</xdr:row>
      <xdr:rowOff>1122</xdr:rowOff>
    </xdr:from>
    <xdr:to>
      <xdr:col>22</xdr:col>
      <xdr:colOff>382868</xdr:colOff>
      <xdr:row>28</xdr:row>
      <xdr:rowOff>28015</xdr:rowOff>
    </xdr:to>
    <mc:AlternateContent xmlns:mc="http://schemas.openxmlformats.org/markup-compatibility/2006" xmlns:a14="http://schemas.microsoft.com/office/drawing/2010/main">
      <mc:Choice Requires="a14">
        <xdr:graphicFrame macro="">
          <xdr:nvGraphicFramePr>
            <xdr:cNvPr id="12" name="ticket_amount 1">
              <a:extLst>
                <a:ext uri="{FF2B5EF4-FFF2-40B4-BE49-F238E27FC236}">
                  <a16:creationId xmlns:a16="http://schemas.microsoft.com/office/drawing/2014/main" id="{2D2B9300-78C3-CA12-A42E-213A1A470E15}"/>
                </a:ext>
              </a:extLst>
            </xdr:cNvPr>
            <xdr:cNvGraphicFramePr/>
          </xdr:nvGraphicFramePr>
          <xdr:xfrm>
            <a:off x="0" y="0"/>
            <a:ext cx="0" cy="0"/>
          </xdr:xfrm>
          <a:graphic>
            <a:graphicData uri="http://schemas.microsoft.com/office/drawing/2010/slicer">
              <sle:slicer xmlns:sle="http://schemas.microsoft.com/office/drawing/2010/slicer" name="ticket_amount 1"/>
            </a:graphicData>
          </a:graphic>
        </xdr:graphicFrame>
      </mc:Choice>
      <mc:Fallback xmlns="">
        <xdr:sp macro="" textlink="">
          <xdr:nvSpPr>
            <xdr:cNvPr id="0" name=""/>
            <xdr:cNvSpPr>
              <a:spLocks noTextEdit="1"/>
            </xdr:cNvSpPr>
          </xdr:nvSpPr>
          <xdr:spPr>
            <a:xfrm>
              <a:off x="11848042" y="4446122"/>
              <a:ext cx="1922743" cy="16937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21894</xdr:colOff>
      <xdr:row>0</xdr:row>
      <xdr:rowOff>29196</xdr:rowOff>
    </xdr:from>
    <xdr:to>
      <xdr:col>19</xdr:col>
      <xdr:colOff>65688</xdr:colOff>
      <xdr:row>3</xdr:row>
      <xdr:rowOff>131380</xdr:rowOff>
    </xdr:to>
    <xdr:sp macro="" textlink="">
      <xdr:nvSpPr>
        <xdr:cNvPr id="2" name="Rectangle: Rounded Corners 1">
          <a:extLst>
            <a:ext uri="{FF2B5EF4-FFF2-40B4-BE49-F238E27FC236}">
              <a16:creationId xmlns:a16="http://schemas.microsoft.com/office/drawing/2014/main" id="{92D89575-7ABD-B323-E5F2-7245939DB88E}"/>
            </a:ext>
          </a:extLst>
        </xdr:cNvPr>
        <xdr:cNvSpPr/>
      </xdr:nvSpPr>
      <xdr:spPr>
        <a:xfrm>
          <a:off x="1503561" y="29196"/>
          <a:ext cx="9853449" cy="824770"/>
        </a:xfrm>
        <a:prstGeom prst="roundRect">
          <a:avLst>
            <a:gd name="adj" fmla="val 9587"/>
          </a:avLst>
        </a:prstGeom>
        <a:solidFill>
          <a:srgbClr val="1720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87585</xdr:colOff>
      <xdr:row>0</xdr:row>
      <xdr:rowOff>21898</xdr:rowOff>
    </xdr:from>
    <xdr:to>
      <xdr:col>22</xdr:col>
      <xdr:colOff>60476</xdr:colOff>
      <xdr:row>30</xdr:row>
      <xdr:rowOff>0</xdr:rowOff>
    </xdr:to>
    <xdr:sp macro="" textlink="">
      <xdr:nvSpPr>
        <xdr:cNvPr id="3" name="Rectangle: Rounded Corners 2">
          <a:extLst>
            <a:ext uri="{FF2B5EF4-FFF2-40B4-BE49-F238E27FC236}">
              <a16:creationId xmlns:a16="http://schemas.microsoft.com/office/drawing/2014/main" id="{7C83CD72-9F07-1E6B-4BD3-6844515DBC01}"/>
            </a:ext>
          </a:extLst>
        </xdr:cNvPr>
        <xdr:cNvSpPr/>
      </xdr:nvSpPr>
      <xdr:spPr>
        <a:xfrm>
          <a:off x="11366395" y="21898"/>
          <a:ext cx="1809855" cy="5768697"/>
        </a:xfrm>
        <a:prstGeom prst="roundRect">
          <a:avLst>
            <a:gd name="adj" fmla="val 5039"/>
          </a:avLst>
        </a:prstGeom>
        <a:solidFill>
          <a:srgbClr val="1720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204367</xdr:colOff>
      <xdr:row>0</xdr:row>
      <xdr:rowOff>153276</xdr:rowOff>
    </xdr:from>
    <xdr:to>
      <xdr:col>18</xdr:col>
      <xdr:colOff>262759</xdr:colOff>
      <xdr:row>3</xdr:row>
      <xdr:rowOff>7299</xdr:rowOff>
    </xdr:to>
    <xdr:sp macro="" textlink="">
      <xdr:nvSpPr>
        <xdr:cNvPr id="4" name="TextBox 3">
          <a:extLst>
            <a:ext uri="{FF2B5EF4-FFF2-40B4-BE49-F238E27FC236}">
              <a16:creationId xmlns:a16="http://schemas.microsoft.com/office/drawing/2014/main" id="{B1A8ECEC-DD7B-F25B-350F-DEC262051276}"/>
            </a:ext>
          </a:extLst>
        </xdr:cNvPr>
        <xdr:cNvSpPr txBox="1"/>
      </xdr:nvSpPr>
      <xdr:spPr>
        <a:xfrm>
          <a:off x="1677893" y="153276"/>
          <a:ext cx="9217045" cy="578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latin typeface="Aptos" panose="020B0004020202020204" pitchFamily="34" charset="0"/>
            </a:rPr>
            <a:t> </a:t>
          </a:r>
          <a:r>
            <a:rPr lang="en-US" sz="2000" b="1">
              <a:solidFill>
                <a:schemeClr val="bg1"/>
              </a:solidFill>
              <a:latin typeface="Aptos" panose="020B0004020202020204" pitchFamily="34" charset="0"/>
            </a:rPr>
            <a:t>BOOKING ANALYTICS</a:t>
          </a:r>
        </a:p>
        <a:p>
          <a:pPr algn="ctr"/>
          <a:r>
            <a:rPr lang="en-US" sz="1100" b="0">
              <a:solidFill>
                <a:schemeClr val="bg1"/>
              </a:solidFill>
              <a:latin typeface="Aptos" panose="020B0004020202020204" pitchFamily="34" charset="0"/>
            </a:rPr>
            <a:t>Booking</a:t>
          </a:r>
          <a:r>
            <a:rPr lang="en-US" sz="1100" b="0" baseline="0">
              <a:solidFill>
                <a:schemeClr val="bg1"/>
              </a:solidFill>
              <a:latin typeface="Aptos" panose="020B0004020202020204" pitchFamily="34" charset="0"/>
            </a:rPr>
            <a:t> volume &amp; trends</a:t>
          </a:r>
          <a:endParaRPr lang="en-US" sz="1100" b="0">
            <a:solidFill>
              <a:schemeClr val="bg1"/>
            </a:solidFill>
            <a:latin typeface="Aptos" panose="020B0004020202020204" pitchFamily="34" charset="0"/>
          </a:endParaRPr>
        </a:p>
      </xdr:txBody>
    </xdr:sp>
    <xdr:clientData/>
  </xdr:twoCellAnchor>
  <xdr:twoCellAnchor>
    <xdr:from>
      <xdr:col>4</xdr:col>
      <xdr:colOff>255460</xdr:colOff>
      <xdr:row>3</xdr:row>
      <xdr:rowOff>202442</xdr:rowOff>
    </xdr:from>
    <xdr:to>
      <xdr:col>7</xdr:col>
      <xdr:colOff>284656</xdr:colOff>
      <xdr:row>10</xdr:row>
      <xdr:rowOff>94885</xdr:rowOff>
    </xdr:to>
    <xdr:sp macro="" textlink="$W$1">
      <xdr:nvSpPr>
        <xdr:cNvPr id="5" name="Rectangle: Rounded Corners 4">
          <a:extLst>
            <a:ext uri="{FF2B5EF4-FFF2-40B4-BE49-F238E27FC236}">
              <a16:creationId xmlns:a16="http://schemas.microsoft.com/office/drawing/2014/main" id="{C6B7415C-7A78-F314-0BB9-B2B3B37E57BA}"/>
            </a:ext>
          </a:extLst>
        </xdr:cNvPr>
        <xdr:cNvSpPr/>
      </xdr:nvSpPr>
      <xdr:spPr>
        <a:xfrm>
          <a:off x="2350230" y="925028"/>
          <a:ext cx="1868506" cy="1213535"/>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a:solidFill>
                <a:schemeClr val="lt1"/>
              </a:solidFill>
              <a:effectLst/>
              <a:latin typeface="Aptos" panose="020B0004020202020204" pitchFamily="34" charset="0"/>
              <a:ea typeface="+mn-ea"/>
              <a:cs typeface="+mn-cs"/>
            </a:rPr>
            <a:t>BOOKED</a:t>
          </a:r>
          <a:r>
            <a:rPr lang="en-US" sz="1400" b="1" i="0" baseline="0">
              <a:solidFill>
                <a:schemeClr val="lt1"/>
              </a:solidFill>
              <a:effectLst/>
              <a:latin typeface="Aptos" panose="020B0004020202020204" pitchFamily="34" charset="0"/>
              <a:ea typeface="+mn-ea"/>
              <a:cs typeface="+mn-cs"/>
            </a:rPr>
            <a:t> SEATS</a:t>
          </a:r>
        </a:p>
        <a:p>
          <a:pPr algn="ctr"/>
          <a:endParaRPr lang="en-US" sz="2400" b="1" i="0" u="none" strike="noStrike">
            <a:solidFill>
              <a:schemeClr val="bg1"/>
            </a:solidFill>
            <a:latin typeface="Aptos" panose="020B0004020202020204" pitchFamily="34" charset="0"/>
            <a:ea typeface="Calibri"/>
            <a:cs typeface="Calibri"/>
          </a:endParaRPr>
        </a:p>
        <a:p>
          <a:pPr algn="ctr"/>
          <a:fld id="{59E326B3-E233-4818-AD25-31446A0E4124}" type="TxLink">
            <a:rPr lang="en-US" sz="2400" b="1" i="0" u="none" strike="noStrike">
              <a:solidFill>
                <a:schemeClr val="bg1"/>
              </a:solidFill>
              <a:latin typeface="Aptos" panose="020B0004020202020204" pitchFamily="34" charset="0"/>
              <a:ea typeface="Calibri"/>
              <a:cs typeface="Calibri"/>
            </a:rPr>
            <a:pPr algn="ctr"/>
            <a:t>3450</a:t>
          </a:fld>
          <a:endParaRPr lang="en-US" sz="2400" b="1">
            <a:solidFill>
              <a:schemeClr val="bg1"/>
            </a:solidFill>
            <a:latin typeface="Aptos" panose="020B0004020202020204" pitchFamily="34" charset="0"/>
          </a:endParaRPr>
        </a:p>
      </xdr:txBody>
    </xdr:sp>
    <xdr:clientData/>
  </xdr:twoCellAnchor>
  <xdr:twoCellAnchor>
    <xdr:from>
      <xdr:col>9</xdr:col>
      <xdr:colOff>36057</xdr:colOff>
      <xdr:row>4</xdr:row>
      <xdr:rowOff>1</xdr:rowOff>
    </xdr:from>
    <xdr:to>
      <xdr:col>12</xdr:col>
      <xdr:colOff>65252</xdr:colOff>
      <xdr:row>10</xdr:row>
      <xdr:rowOff>96812</xdr:rowOff>
    </xdr:to>
    <xdr:sp macro="" textlink="$W$2">
      <xdr:nvSpPr>
        <xdr:cNvPr id="6" name="Rectangle: Rounded Corners 5">
          <a:extLst>
            <a:ext uri="{FF2B5EF4-FFF2-40B4-BE49-F238E27FC236}">
              <a16:creationId xmlns:a16="http://schemas.microsoft.com/office/drawing/2014/main" id="{FF858E46-781A-483B-8EB2-A9547FEA84A5}"/>
            </a:ext>
          </a:extLst>
        </xdr:cNvPr>
        <xdr:cNvSpPr/>
      </xdr:nvSpPr>
      <xdr:spPr>
        <a:xfrm>
          <a:off x="5196344" y="926955"/>
          <a:ext cx="1868506" cy="1213535"/>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a:solidFill>
                <a:schemeClr val="bg1"/>
              </a:solidFill>
              <a:effectLst/>
              <a:latin typeface="Aptos" panose="020B0004020202020204" pitchFamily="34" charset="0"/>
              <a:ea typeface="+mn-ea"/>
              <a:cs typeface="+mn-cs"/>
            </a:rPr>
            <a:t>AVG</a:t>
          </a:r>
          <a:r>
            <a:rPr lang="en-US" sz="1400" b="1" i="0" baseline="0">
              <a:solidFill>
                <a:schemeClr val="bg1"/>
              </a:solidFill>
              <a:effectLst/>
              <a:latin typeface="Aptos" panose="020B0004020202020204" pitchFamily="34" charset="0"/>
              <a:ea typeface="+mn-ea"/>
              <a:cs typeface="+mn-cs"/>
            </a:rPr>
            <a:t> SEATS</a:t>
          </a:r>
          <a:endParaRPr lang="en-US" sz="1400" b="1">
            <a:solidFill>
              <a:schemeClr val="bg1"/>
            </a:solidFill>
            <a:effectLst/>
            <a:latin typeface="Aptos" panose="020B0004020202020204" pitchFamily="34" charset="0"/>
          </a:endParaRPr>
        </a:p>
        <a:p>
          <a:pPr algn="ctr"/>
          <a:endParaRPr lang="en-US" sz="2400" b="1" i="0" u="none" strike="noStrike">
            <a:solidFill>
              <a:schemeClr val="bg1"/>
            </a:solidFill>
            <a:latin typeface="Aptos" panose="020B0004020202020204" pitchFamily="34" charset="0"/>
            <a:ea typeface="Calibri"/>
            <a:cs typeface="Calibri"/>
          </a:endParaRPr>
        </a:p>
        <a:p>
          <a:pPr algn="ctr"/>
          <a:fld id="{C7414152-5137-4D2E-A0CD-E5E12A5E3B1A}" type="TxLink">
            <a:rPr lang="en-US" sz="2400" b="1" i="0" u="none" strike="noStrike">
              <a:solidFill>
                <a:schemeClr val="bg1"/>
              </a:solidFill>
              <a:latin typeface="Aptos" panose="020B0004020202020204" pitchFamily="34" charset="0"/>
              <a:ea typeface="Calibri"/>
              <a:cs typeface="Calibri"/>
            </a:rPr>
            <a:pPr algn="ctr"/>
            <a:t>3.45</a:t>
          </a:fld>
          <a:endParaRPr lang="en-US" sz="2400" b="1">
            <a:solidFill>
              <a:schemeClr val="bg1"/>
            </a:solidFill>
            <a:latin typeface="Aptos" panose="020B0004020202020204" pitchFamily="34" charset="0"/>
          </a:endParaRPr>
        </a:p>
      </xdr:txBody>
    </xdr:sp>
    <xdr:clientData/>
  </xdr:twoCellAnchor>
  <xdr:twoCellAnchor>
    <xdr:from>
      <xdr:col>13</xdr:col>
      <xdr:colOff>429756</xdr:colOff>
      <xdr:row>4</xdr:row>
      <xdr:rowOff>21021</xdr:rowOff>
    </xdr:from>
    <xdr:to>
      <xdr:col>17</xdr:col>
      <xdr:colOff>60476</xdr:colOff>
      <xdr:row>10</xdr:row>
      <xdr:rowOff>117832</xdr:rowOff>
    </xdr:to>
    <xdr:sp macro="" textlink="$W$3">
      <xdr:nvSpPr>
        <xdr:cNvPr id="7" name="Rectangle: Rounded Corners 6">
          <a:extLst>
            <a:ext uri="{FF2B5EF4-FFF2-40B4-BE49-F238E27FC236}">
              <a16:creationId xmlns:a16="http://schemas.microsoft.com/office/drawing/2014/main" id="{7F9A226A-8341-4F47-ACB1-97E685A2CC1F}"/>
            </a:ext>
          </a:extLst>
        </xdr:cNvPr>
        <xdr:cNvSpPr/>
      </xdr:nvSpPr>
      <xdr:spPr>
        <a:xfrm>
          <a:off x="8034637" y="935723"/>
          <a:ext cx="2080006" cy="1208061"/>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i="0">
              <a:solidFill>
                <a:schemeClr val="bg1"/>
              </a:solidFill>
              <a:effectLst/>
              <a:latin typeface="Aptos" panose="020B0004020202020204" pitchFamily="34" charset="0"/>
              <a:ea typeface="+mn-ea"/>
              <a:cs typeface="+mn-cs"/>
            </a:rPr>
            <a:t>PEEK BOOKING</a:t>
          </a:r>
          <a:r>
            <a:rPr lang="en-US" sz="1400" b="1" i="0" baseline="0">
              <a:solidFill>
                <a:schemeClr val="bg1"/>
              </a:solidFill>
              <a:effectLst/>
              <a:latin typeface="Aptos" panose="020B0004020202020204" pitchFamily="34" charset="0"/>
              <a:ea typeface="+mn-ea"/>
              <a:cs typeface="+mn-cs"/>
            </a:rPr>
            <a:t> DAY</a:t>
          </a:r>
          <a:endParaRPr lang="en-US">
            <a:solidFill>
              <a:schemeClr val="bg1"/>
            </a:solidFill>
            <a:effectLst/>
            <a:latin typeface="Aptos" panose="020B0004020202020204" pitchFamily="34" charset="0"/>
          </a:endParaRPr>
        </a:p>
        <a:p>
          <a:pPr algn="ctr"/>
          <a:endParaRPr lang="en-US" sz="2400" b="1" i="0" u="none" strike="noStrike">
            <a:solidFill>
              <a:schemeClr val="bg1"/>
            </a:solidFill>
            <a:latin typeface="Aptos" panose="020B0004020202020204" pitchFamily="34" charset="0"/>
            <a:ea typeface="Calibri"/>
            <a:cs typeface="Calibri"/>
          </a:endParaRPr>
        </a:p>
        <a:p>
          <a:pPr algn="ctr"/>
          <a:fld id="{7DA95F4C-F626-48F4-A0C6-676FF5AEFCE3}" type="TxLink">
            <a:rPr lang="en-US" sz="2400" b="1" i="0" u="none" strike="noStrike">
              <a:solidFill>
                <a:schemeClr val="bg1"/>
              </a:solidFill>
              <a:latin typeface="Aptos" panose="020B0004020202020204" pitchFamily="34" charset="0"/>
              <a:ea typeface="Calibri"/>
              <a:cs typeface="Calibri"/>
            </a:rPr>
            <a:pPr algn="ctr"/>
            <a:t>Thursday</a:t>
          </a:fld>
          <a:endParaRPr lang="en-US" sz="2400" b="1">
            <a:solidFill>
              <a:schemeClr val="bg1"/>
            </a:solidFill>
            <a:latin typeface="Aptos" panose="020B0004020202020204" pitchFamily="34" charset="0"/>
          </a:endParaRPr>
        </a:p>
      </xdr:txBody>
    </xdr:sp>
    <xdr:clientData/>
  </xdr:twoCellAnchor>
  <xdr:twoCellAnchor>
    <xdr:from>
      <xdr:col>19</xdr:col>
      <xdr:colOff>87584</xdr:colOff>
      <xdr:row>0</xdr:row>
      <xdr:rowOff>21898</xdr:rowOff>
    </xdr:from>
    <xdr:to>
      <xdr:col>21</xdr:col>
      <xdr:colOff>569871</xdr:colOff>
      <xdr:row>9</xdr:row>
      <xdr:rowOff>94885</xdr:rowOff>
    </xdr:to>
    <xdr:graphicFrame macro="">
      <xdr:nvGraphicFramePr>
        <xdr:cNvPr id="15" name="Chart 14">
          <a:extLst>
            <a:ext uri="{FF2B5EF4-FFF2-40B4-BE49-F238E27FC236}">
              <a16:creationId xmlns:a16="http://schemas.microsoft.com/office/drawing/2014/main" id="{8A8B692A-A444-4B89-A5CD-C109AC990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211667</xdr:colOff>
      <xdr:row>10</xdr:row>
      <xdr:rowOff>113973</xdr:rowOff>
    </xdr:from>
    <xdr:to>
      <xdr:col>21</xdr:col>
      <xdr:colOff>594294</xdr:colOff>
      <xdr:row>16</xdr:row>
      <xdr:rowOff>4276</xdr:rowOff>
    </xdr:to>
    <mc:AlternateContent xmlns:mc="http://schemas.openxmlformats.org/markup-compatibility/2006" xmlns:a14="http://schemas.microsoft.com/office/drawing/2010/main">
      <mc:Choice Requires="a14">
        <xdr:graphicFrame macro="">
          <xdr:nvGraphicFramePr>
            <xdr:cNvPr id="16" name="payment_method">
              <a:extLst>
                <a:ext uri="{FF2B5EF4-FFF2-40B4-BE49-F238E27FC236}">
                  <a16:creationId xmlns:a16="http://schemas.microsoft.com/office/drawing/2014/main" id="{4CB74A02-DB82-1AAB-1FA0-276BEA6E2DD2}"/>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1490477" y="2139925"/>
              <a:ext cx="1607269" cy="10242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219807</xdr:colOff>
      <xdr:row>22</xdr:row>
      <xdr:rowOff>89551</xdr:rowOff>
    </xdr:from>
    <xdr:to>
      <xdr:col>21</xdr:col>
      <xdr:colOff>601620</xdr:colOff>
      <xdr:row>28</xdr:row>
      <xdr:rowOff>0</xdr:rowOff>
    </xdr:to>
    <mc:AlternateContent xmlns:mc="http://schemas.openxmlformats.org/markup-compatibility/2006" xmlns:a14="http://schemas.microsoft.com/office/drawing/2010/main">
      <mc:Choice Requires="a14">
        <xdr:graphicFrame macro="">
          <xdr:nvGraphicFramePr>
            <xdr:cNvPr id="23" name="ticket_amount">
              <a:extLst>
                <a:ext uri="{FF2B5EF4-FFF2-40B4-BE49-F238E27FC236}">
                  <a16:creationId xmlns:a16="http://schemas.microsoft.com/office/drawing/2014/main" id="{B4C3CA81-81EF-68C5-183F-8F2632D13721}"/>
                </a:ext>
              </a:extLst>
            </xdr:cNvPr>
            <xdr:cNvGraphicFramePr/>
          </xdr:nvGraphicFramePr>
          <xdr:xfrm>
            <a:off x="0" y="0"/>
            <a:ext cx="0" cy="0"/>
          </xdr:xfrm>
          <a:graphic>
            <a:graphicData uri="http://schemas.microsoft.com/office/drawing/2010/slicer">
              <sle:slicer xmlns:sle="http://schemas.microsoft.com/office/drawing/2010/slicer" name="ticket_amount"/>
            </a:graphicData>
          </a:graphic>
        </xdr:graphicFrame>
      </mc:Choice>
      <mc:Fallback xmlns="">
        <xdr:sp macro="" textlink="">
          <xdr:nvSpPr>
            <xdr:cNvPr id="0" name=""/>
            <xdr:cNvSpPr>
              <a:spLocks noTextEdit="1"/>
            </xdr:cNvSpPr>
          </xdr:nvSpPr>
          <xdr:spPr>
            <a:xfrm>
              <a:off x="11498617" y="4383361"/>
              <a:ext cx="1606455" cy="10443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173868</xdr:colOff>
      <xdr:row>13</xdr:row>
      <xdr:rowOff>7559</xdr:rowOff>
    </xdr:from>
    <xdr:to>
      <xdr:col>10</xdr:col>
      <xdr:colOff>249464</xdr:colOff>
      <xdr:row>27</xdr:row>
      <xdr:rowOff>97366</xdr:rowOff>
    </xdr:to>
    <xdr:graphicFrame macro="">
      <xdr:nvGraphicFramePr>
        <xdr:cNvPr id="11" name="Chart 10">
          <a:extLst>
            <a:ext uri="{FF2B5EF4-FFF2-40B4-BE49-F238E27FC236}">
              <a16:creationId xmlns:a16="http://schemas.microsoft.com/office/drawing/2014/main" id="{ADBAB13C-42EA-44BC-A01C-616546645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211666</xdr:colOff>
      <xdr:row>13</xdr:row>
      <xdr:rowOff>90714</xdr:rowOff>
    </xdr:from>
    <xdr:to>
      <xdr:col>17</xdr:col>
      <xdr:colOff>497416</xdr:colOff>
      <xdr:row>27</xdr:row>
      <xdr:rowOff>180521</xdr:rowOff>
    </xdr:to>
    <xdr:graphicFrame macro="">
      <xdr:nvGraphicFramePr>
        <xdr:cNvPr id="13" name="Chart 12">
          <a:extLst>
            <a:ext uri="{FF2B5EF4-FFF2-40B4-BE49-F238E27FC236}">
              <a16:creationId xmlns:a16="http://schemas.microsoft.com/office/drawing/2014/main" id="{6B47F55A-B538-4492-B898-134201803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241905</xdr:colOff>
      <xdr:row>16</xdr:row>
      <xdr:rowOff>113392</xdr:rowOff>
    </xdr:from>
    <xdr:to>
      <xdr:col>21</xdr:col>
      <xdr:colOff>605669</xdr:colOff>
      <xdr:row>21</xdr:row>
      <xdr:rowOff>136071</xdr:rowOff>
    </xdr:to>
    <mc:AlternateContent xmlns:mc="http://schemas.openxmlformats.org/markup-compatibility/2006" xmlns:a14="http://schemas.microsoft.com/office/drawing/2010/main">
      <mc:Choice Requires="a14">
        <xdr:graphicFrame macro="">
          <xdr:nvGraphicFramePr>
            <xdr:cNvPr id="19" name="month 1">
              <a:extLst>
                <a:ext uri="{FF2B5EF4-FFF2-40B4-BE49-F238E27FC236}">
                  <a16:creationId xmlns:a16="http://schemas.microsoft.com/office/drawing/2014/main" id="{3B0C1060-5070-8CE1-A2D6-9E89C1C95B9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520715" y="3273273"/>
              <a:ext cx="1588406" cy="975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sel" refreshedDate="46281.431078935188" createdVersion="8" refreshedVersion="8" minRefreshableVersion="3" recordCount="1000" xr:uid="{76C809AD-5359-4597-AB79-B01FCC3BC4A5}">
  <cacheSource type="worksheet">
    <worksheetSource ref="A1:Q1001" sheet="data"/>
  </cacheSource>
  <cacheFields count="19">
    <cacheField name="booking_id" numFmtId="0">
      <sharedItems containsSemiMixedTypes="0" containsString="0" containsNumber="1" containsInteger="1" minValue="13" maxValue="1012"/>
    </cacheField>
    <cacheField name="customer_id" numFmtId="0">
      <sharedItems containsSemiMixedTypes="0" containsString="0" containsNumber="1" containsInteger="1" minValue="1" maxValue="20"/>
    </cacheField>
    <cacheField name="movie_id" numFmtId="0">
      <sharedItems containsSemiMixedTypes="0" containsString="0" containsNumber="1" containsInteger="1" minValue="1" maxValue="20"/>
    </cacheField>
    <cacheField name="theatre_id" numFmtId="0">
      <sharedItems containsSemiMixedTypes="0" containsString="0" containsNumber="1" containsInteger="1" minValue="1" maxValue="10"/>
    </cacheField>
    <cacheField name="show_date" numFmtId="164">
      <sharedItems containsSemiMixedTypes="0" containsNonDate="0" containsDate="1" containsString="0" minDate="2026-01-01T17:30:00" maxDate="2026-12-31T21:30:00" count="942">
        <d v="2026-12-09T23:00:00"/>
        <d v="2026-01-31T14:30:00"/>
        <d v="2026-06-07T14:30:00"/>
        <d v="2026-02-08T15:00:00"/>
        <d v="2026-04-27T16:30:00"/>
        <d v="2026-03-25T18:30:00"/>
        <d v="2026-10-13T22:30:00"/>
        <d v="2026-10-10T15:00:00"/>
        <d v="2026-11-12T18:30:00"/>
        <d v="2026-04-10T18:30:00"/>
        <d v="2026-03-12T18:30:00"/>
        <d v="2026-08-29T20:00:00"/>
        <d v="2026-02-10T19:00:00"/>
        <d v="2026-02-03T16:00:00"/>
        <d v="2026-05-02T16:00:00"/>
        <d v="2026-12-05T18:30:00"/>
        <d v="2026-04-15T16:00:00"/>
        <d v="2026-05-14T14:30:00"/>
        <d v="2026-03-30T18:30:00"/>
        <d v="2026-11-06T21:00:00"/>
        <d v="2026-09-20T17:30:00"/>
        <d v="2026-03-06T23:00:00"/>
        <d v="2026-06-14T17:00:00"/>
        <d v="2026-03-16T18:00:00"/>
        <d v="2026-02-09T15:30:00"/>
        <d v="2026-12-19T15:30:00"/>
        <d v="2026-01-13T14:30:00"/>
        <d v="2026-07-16T20:30:00"/>
        <d v="2026-07-03T20:30:00"/>
        <d v="2026-11-29T22:00:00"/>
        <d v="2026-09-18T15:00:00"/>
        <d v="2026-01-17T22:30:00"/>
        <d v="2026-11-20T19:30:00"/>
        <d v="2026-11-27T20:30:00"/>
        <d v="2026-06-13T18:30:00"/>
        <d v="2026-07-22T23:00:00"/>
        <d v="2026-01-21T20:30:00"/>
        <d v="2026-10-19T20:30:00"/>
        <d v="2026-07-24T15:30:00"/>
        <d v="2026-02-08T22:00:00"/>
        <d v="2026-07-23T19:00:00"/>
        <d v="2026-07-06T20:00:00"/>
        <d v="2026-06-18T21:00:00"/>
        <d v="2026-05-06T17:00:00"/>
        <d v="2026-06-18T14:30:00"/>
        <d v="2026-10-15T14:30:00"/>
        <d v="2026-11-01T18:30:00"/>
        <d v="2026-09-23T17:30:00"/>
        <d v="2026-09-15T20:30:00"/>
        <d v="2026-04-04T17:00:00"/>
        <d v="2026-11-27T19:00:00"/>
        <d v="2026-11-05T17:30:00"/>
        <d v="2026-01-29T21:30:00"/>
        <d v="2026-02-06T21:00:00"/>
        <d v="2026-01-03T16:30:00"/>
        <d v="2026-04-05T21:00:00"/>
        <d v="2026-07-12T15:30:00"/>
        <d v="2026-03-04T23:00:00"/>
        <d v="2026-08-20T14:30:00"/>
        <d v="2026-07-21T18:00:00"/>
        <d v="2026-01-02T18:30:00"/>
        <d v="2026-10-14T23:30:00"/>
        <d v="2026-04-14T23:30:00"/>
        <d v="2026-02-07T16:00:00"/>
        <d v="2026-08-19T22:00:00"/>
        <d v="2026-05-27T15:00:00"/>
        <d v="2026-03-26T22:00:00"/>
        <d v="2026-01-16T19:00:00"/>
        <d v="2026-05-22T14:30:00"/>
        <d v="2026-12-23T20:00:00"/>
        <d v="2026-09-30T22:00:00"/>
        <d v="2026-12-24T15:30:00"/>
        <d v="2026-07-25T15:00:00"/>
        <d v="2026-06-18T18:00:00"/>
        <d v="2026-09-08T17:00:00"/>
        <d v="2026-07-05T21:00:00"/>
        <d v="2026-10-04T21:30:00"/>
        <d v="2026-04-24T22:00:00"/>
        <d v="2026-10-09T19:30:00"/>
        <d v="2026-08-20T23:30:00"/>
        <d v="2026-08-21T21:30:00"/>
        <d v="2026-08-11T21:00:00"/>
        <d v="2026-08-05T21:30:00"/>
        <d v="2026-12-21T14:00:00"/>
        <d v="2026-04-14T23:00:00"/>
        <d v="2026-02-25T15:00:00"/>
        <d v="2026-07-01T23:00:00"/>
        <d v="2026-12-04T21:30:00"/>
        <d v="2026-07-26T17:30:00"/>
        <d v="2026-02-10T19:30:00"/>
        <d v="2026-11-14T15:00:00"/>
        <d v="2026-03-07T23:00:00"/>
        <d v="2026-07-29T20:00:00"/>
        <d v="2026-12-07T23:30:00"/>
        <d v="2026-12-22T21:30:00"/>
        <d v="2026-01-31T19:30:00"/>
        <d v="2026-05-01T15:30:00"/>
        <d v="2026-02-01T15:30:00"/>
        <d v="2026-03-01T19:30:00"/>
        <d v="2026-11-10T18:00:00"/>
        <d v="2026-07-29T20:30:00"/>
        <d v="2026-04-23T16:30:00"/>
        <d v="2026-03-10T17:30:00"/>
        <d v="2026-11-18T18:30:00"/>
        <d v="2026-08-03T22:30:00"/>
        <d v="2026-02-17T23:00:00"/>
        <d v="2026-09-20T18:30:00"/>
        <d v="2026-09-09T21:30:00"/>
        <d v="2026-07-19T14:30:00"/>
        <d v="2026-02-03T17:30:00"/>
        <d v="2026-03-14T16:30:00"/>
        <d v="2026-06-18T17:00:00"/>
        <d v="2026-11-02T22:00:00"/>
        <d v="2026-10-01T15:00:00"/>
        <d v="2026-02-04T21:00:00"/>
        <d v="2026-06-01T14:00:00"/>
        <d v="2026-01-25T17:30:00"/>
        <d v="2026-08-13T19:00:00"/>
        <d v="2026-11-05T20:30:00"/>
        <d v="2026-07-29T21:00:00"/>
        <d v="2026-09-02T16:00:00"/>
        <d v="2026-06-04T14:00:00"/>
        <d v="2026-07-03T23:30:00"/>
        <d v="2026-02-26T14:00:00"/>
        <d v="2026-03-24T17:30:00"/>
        <d v="2026-10-06T21:00:00"/>
        <d v="2026-05-06T19:00:00"/>
        <d v="2026-07-04T17:00:00"/>
        <d v="2026-10-11T14:30:00"/>
        <d v="2026-07-07T21:30:00"/>
        <d v="2026-04-23T19:30:00"/>
        <d v="2026-07-28T18:00:00"/>
        <d v="2026-04-16T22:30:00"/>
        <d v="2026-03-28T16:30:00"/>
        <d v="2026-01-30T18:00:00"/>
        <d v="2026-10-23T14:30:00"/>
        <d v="2026-04-26T19:00:00"/>
        <d v="2026-07-20T22:30:00"/>
        <d v="2026-02-17T15:00:00"/>
        <d v="2026-09-06T20:30:00"/>
        <d v="2026-08-11T18:30:00"/>
        <d v="2026-10-22T20:30:00"/>
        <d v="2026-09-17T22:00:00"/>
        <d v="2026-08-01T16:30:00"/>
        <d v="2026-06-11T16:30:00"/>
        <d v="2026-02-23T20:00:00"/>
        <d v="2026-01-17T22:00:00"/>
        <d v="2026-09-08T17:30:00"/>
        <d v="2026-06-26T18:00:00"/>
        <d v="2026-02-17T17:00:00"/>
        <d v="2026-01-24T23:30:00"/>
        <d v="2026-03-14T23:30:00"/>
        <d v="2026-07-17T18:30:00"/>
        <d v="2026-03-14T18:30:00"/>
        <d v="2026-04-04T22:30:00"/>
        <d v="2026-12-17T14:30:00"/>
        <d v="2026-10-04T16:00:00"/>
        <d v="2026-08-06T22:00:00"/>
        <d v="2026-10-21T19:00:00"/>
        <d v="2026-01-03T19:00:00"/>
        <d v="2026-10-18T20:00:00"/>
        <d v="2026-09-23T15:30:00"/>
        <d v="2026-08-19T20:00:00"/>
        <d v="2026-03-16T23:00:00"/>
        <d v="2026-02-02T23:00:00"/>
        <d v="2026-04-05T21:30:00"/>
        <d v="2026-06-10T18:30:00"/>
        <d v="2026-03-03T20:00:00"/>
        <d v="2026-09-08T20:00:00"/>
        <d v="2026-05-18T15:30:00"/>
        <d v="2026-12-11T14:30:00"/>
        <d v="2026-10-09T19:00:00"/>
        <d v="2026-03-07T14:00:00"/>
        <d v="2026-01-11T17:30:00"/>
        <d v="2026-02-13T21:30:00"/>
        <d v="2026-07-02T18:30:00"/>
        <d v="2026-04-19T23:00:00"/>
        <d v="2026-06-19T16:30:00"/>
        <d v="2026-04-15T20:00:00"/>
        <d v="2026-07-27T16:00:00"/>
        <d v="2026-12-16T15:00:00"/>
        <d v="2026-09-26T21:30:00"/>
        <d v="2026-05-16T23:00:00"/>
        <d v="2026-05-16T17:00:00"/>
        <d v="2026-10-29T15:00:00"/>
        <d v="2026-11-21T19:00:00"/>
        <d v="2026-01-17T18:30:00"/>
        <d v="2026-08-30T22:30:00"/>
        <d v="2026-06-23T22:00:00"/>
        <d v="2026-06-09T16:00:00"/>
        <d v="2026-10-22T22:30:00"/>
        <d v="2026-12-04T17:30:00"/>
        <d v="2026-07-18T18:00:00"/>
        <d v="2026-04-29T23:30:00"/>
        <d v="2026-08-07T18:00:00"/>
        <d v="2026-06-06T15:00:00"/>
        <d v="2026-02-21T23:00:00"/>
        <d v="2026-02-15T18:30:00"/>
        <d v="2026-12-06T16:00:00"/>
        <d v="2026-02-27T18:30:00"/>
        <d v="2026-01-14T16:00:00"/>
        <d v="2026-02-10T20:30:00"/>
        <d v="2026-12-14T17:30:00"/>
        <d v="2026-04-19T19:30:00"/>
        <d v="2026-09-28T19:00:00"/>
        <d v="2026-05-10T14:30:00"/>
        <d v="2026-05-11T23:00:00"/>
        <d v="2026-05-03T18:00:00"/>
        <d v="2026-02-09T21:30:00"/>
        <d v="2026-02-08T14:30:00"/>
        <d v="2026-03-29T19:30:00"/>
        <d v="2026-07-12T17:30:00"/>
        <d v="2026-03-27T15:00:00"/>
        <d v="2026-10-18T14:00:00"/>
        <d v="2026-05-03T20:30:00"/>
        <d v="2026-02-24T17:00:00"/>
        <d v="2026-12-29T20:00:00"/>
        <d v="2026-11-16T16:30:00"/>
        <d v="2026-05-01T22:00:00"/>
        <d v="2026-08-16T17:30:00"/>
        <d v="2026-03-05T20:30:00"/>
        <d v="2026-09-26T22:30:00"/>
        <d v="2026-06-07T20:30:00"/>
        <d v="2026-12-31T20:00:00"/>
        <d v="2026-03-31T15:30:00"/>
        <d v="2026-11-28T14:00:00"/>
        <d v="2026-09-15T18:00:00"/>
        <d v="2026-02-27T23:30:00"/>
        <d v="2026-10-02T19:00:00"/>
        <d v="2026-06-02T18:30:00"/>
        <d v="2026-12-23T23:30:00"/>
        <d v="2026-11-27T17:30:00"/>
        <d v="2026-07-12T21:00:00"/>
        <d v="2026-07-18T15:30:00"/>
        <d v="2026-11-27T18:30:00"/>
        <d v="2026-03-31T20:00:00"/>
        <d v="2026-08-04T22:00:00"/>
        <d v="2026-07-22T21:30:00"/>
        <d v="2026-07-30T20:00:00"/>
        <d v="2026-02-25T17:30:00"/>
        <d v="2026-12-01T19:00:00"/>
        <d v="2026-03-15T14:30:00"/>
        <d v="2026-11-25T16:30:00"/>
        <d v="2026-06-18T17:30:00"/>
        <d v="2026-08-26T14:30:00"/>
        <d v="2026-10-13T15:30:00"/>
        <d v="2026-03-02T19:30:00"/>
        <d v="2026-05-09T16:00:00"/>
        <d v="2026-07-10T21:00:00"/>
        <d v="2026-09-06T23:30:00"/>
        <d v="2026-04-01T16:00:00"/>
        <d v="2026-07-12T21:30:00"/>
        <d v="2026-06-25T19:30:00"/>
        <d v="2026-10-26T17:30:00"/>
        <d v="2026-04-24T19:00:00"/>
        <d v="2026-01-20T22:30:00"/>
        <d v="2026-01-20T20:00:00"/>
        <d v="2026-05-28T21:30:00"/>
        <d v="2026-01-19T21:30:00"/>
        <d v="2026-01-03T22:00:00"/>
        <d v="2026-12-07T19:00:00"/>
        <d v="2026-10-27T20:00:00"/>
        <d v="2026-10-16T16:00:00"/>
        <d v="2026-05-21T15:00:00"/>
        <d v="2026-03-30T18:00:00"/>
        <d v="2026-06-19T23:30:00"/>
        <d v="2026-09-20T21:00:00"/>
        <d v="2026-05-17T22:00:00"/>
        <d v="2026-10-29T21:00:00"/>
        <d v="2026-10-28T22:00:00"/>
        <d v="2026-06-20T17:30:00"/>
        <d v="2026-10-24T17:30:00"/>
        <d v="2026-06-13T20:00:00"/>
        <d v="2026-09-29T16:00:00"/>
        <d v="2026-06-23T22:30:00"/>
        <d v="2026-02-07T19:30:00"/>
        <d v="2026-09-05T20:00:00"/>
        <d v="2026-06-18T15:30:00"/>
        <d v="2026-07-19T22:30:00"/>
        <d v="2026-07-22T15:00:00"/>
        <d v="2026-03-27T14:00:00"/>
        <d v="2026-08-11T22:30:00"/>
        <d v="2026-08-10T22:00:00"/>
        <d v="2026-02-15T19:00:00"/>
        <d v="2026-09-05T15:00:00"/>
        <d v="2026-08-31T23:00:00"/>
        <d v="2026-12-27T22:00:00"/>
        <d v="2026-02-22T14:30:00"/>
        <d v="2026-02-10T14:30:00"/>
        <d v="2026-06-05T17:00:00"/>
        <d v="2026-11-09T18:00:00"/>
        <d v="2026-06-02T21:30:00"/>
        <d v="2026-04-02T18:30:00"/>
        <d v="2026-03-17T18:00:00"/>
        <d v="2026-09-04T21:00:00"/>
        <d v="2026-07-29T14:30:00"/>
        <d v="2026-07-22T23:30:00"/>
        <d v="2026-01-25T23:30:00"/>
        <d v="2026-02-13T23:30:00"/>
        <d v="2026-09-22T18:30:00"/>
        <d v="2026-09-25T18:30:00"/>
        <d v="2026-02-22T20:00:00"/>
        <d v="2026-05-28T23:00:00"/>
        <d v="2026-09-24T15:00:00"/>
        <d v="2026-01-31T22:00:00"/>
        <d v="2026-03-25T14:30:00"/>
        <d v="2026-04-18T15:30:00"/>
        <d v="2026-10-31T18:00:00"/>
        <d v="2026-11-13T23:00:00"/>
        <d v="2026-12-08T23:30:00"/>
        <d v="2026-12-13T15:30:00"/>
        <d v="2026-07-19T17:30:00"/>
        <d v="2026-06-29T14:00:00"/>
        <d v="2026-05-03T14:00:00"/>
        <d v="2026-06-15T18:00:00"/>
        <d v="2026-02-20T19:00:00"/>
        <d v="2026-12-10T14:30:00"/>
        <d v="2026-08-18T23:30:00"/>
        <d v="2026-10-13T14:00:00"/>
        <d v="2026-12-21T19:30:00"/>
        <d v="2026-07-27T15:30:00"/>
        <d v="2026-04-26T21:00:00"/>
        <d v="2026-03-21T22:30:00"/>
        <d v="2026-03-15T22:00:00"/>
        <d v="2026-04-25T18:00:00"/>
        <d v="2026-02-13T19:30:00"/>
        <d v="2026-11-22T23:30:00"/>
        <d v="2026-11-28T18:00:00"/>
        <d v="2026-06-16T18:00:00"/>
        <d v="2026-07-13T17:30:00"/>
        <d v="2026-02-08T22:30:00"/>
        <d v="2026-02-09T15:00:00"/>
        <d v="2026-01-10T22:30:00"/>
        <d v="2026-02-21T16:00:00"/>
        <d v="2026-06-24T14:30:00"/>
        <d v="2026-07-02T22:00:00"/>
        <d v="2026-04-16T18:30:00"/>
        <d v="2026-11-27T14:30:00"/>
        <d v="2026-06-22T18:00:00"/>
        <d v="2026-08-28T14:00:00"/>
        <d v="2026-06-26T17:00:00"/>
        <d v="2026-01-03T14:30:00"/>
        <d v="2026-04-08T20:00:00"/>
        <d v="2026-02-04T17:30:00"/>
        <d v="2026-01-06T16:00:00"/>
        <d v="2026-10-05T17:00:00"/>
        <d v="2026-04-16T15:00:00"/>
        <d v="2026-03-26T18:30:00"/>
        <d v="2026-05-05T17:30:00"/>
        <d v="2026-04-19T19:00:00"/>
        <d v="2026-03-25T23:30:00"/>
        <d v="2026-10-11T22:00:00"/>
        <d v="2026-07-17T15:30:00"/>
        <d v="2026-10-11T17:30:00"/>
        <d v="2026-08-09T20:00:00"/>
        <d v="2026-09-17T17:30:00"/>
        <d v="2026-08-11T20:00:00"/>
        <d v="2026-02-04T22:00:00"/>
        <d v="2026-04-17T22:30:00"/>
        <d v="2026-07-27T16:30:00"/>
        <d v="2026-03-25T23:00:00"/>
        <d v="2026-05-21T20:00:00"/>
        <d v="2026-06-14T19:00:00"/>
        <d v="2026-08-14T22:30:00"/>
        <d v="2026-12-28T17:00:00"/>
        <d v="2026-10-12T14:30:00"/>
        <d v="2026-04-27T15:00:00"/>
        <d v="2026-04-28T18:30:00"/>
        <d v="2026-06-20T17:00:00"/>
        <d v="2026-12-22T18:00:00"/>
        <d v="2026-07-19T21:00:00"/>
        <d v="2026-10-21T19:30:00"/>
        <d v="2026-03-12T16:30:00"/>
        <d v="2026-05-31T16:30:00"/>
        <d v="2026-11-16T22:30:00"/>
        <d v="2026-12-06T19:30:00"/>
        <d v="2026-05-22T20:00:00"/>
        <d v="2026-08-01T19:30:00"/>
        <d v="2026-04-20T15:00:00"/>
        <d v="2026-09-29T17:30:00"/>
        <d v="2026-01-11T23:00:00"/>
        <d v="2026-06-10T21:30:00"/>
        <d v="2026-02-20T19:30:00"/>
        <d v="2026-06-15T16:00:00"/>
        <d v="2026-06-04T20:30:00"/>
        <d v="2026-11-07T17:30:00"/>
        <d v="2026-02-07T20:00:00"/>
        <d v="2026-09-15T14:00:00"/>
        <d v="2026-08-15T22:00:00"/>
        <d v="2026-06-21T16:00:00"/>
        <d v="2026-10-30T19:00:00"/>
        <d v="2026-09-21T18:30:00"/>
        <d v="2026-09-05T19:00:00"/>
        <d v="2026-05-16T14:00:00"/>
        <d v="2026-01-04T16:00:00"/>
        <d v="2026-11-11T16:00:00"/>
        <d v="2026-04-15T18:30:00"/>
        <d v="2026-03-18T23:30:00"/>
        <d v="2026-01-28T22:30:00"/>
        <d v="2026-03-26T16:00:00"/>
        <d v="2026-07-23T15:30:00"/>
        <d v="2026-05-21T21:30:00"/>
        <d v="2026-06-16T19:30:00"/>
        <d v="2026-01-14T15:30:00"/>
        <d v="2026-06-02T19:30:00"/>
        <d v="2026-11-06T14:30:00"/>
        <d v="2026-02-27T23:00:00"/>
        <d v="2026-08-06T19:00:00"/>
        <d v="2026-10-18T22:30:00"/>
        <d v="2026-07-16T22:30:00"/>
        <d v="2026-11-26T16:00:00"/>
        <d v="2026-03-28T17:30:00"/>
        <d v="2026-12-10T20:00:00"/>
        <d v="2026-04-18T14:00:00"/>
        <d v="2026-03-11T16:30:00"/>
        <d v="2026-01-24T16:30:00"/>
        <d v="2026-07-11T21:30:00"/>
        <d v="2026-05-24T17:30:00"/>
        <d v="2026-01-13T16:00:00"/>
        <d v="2026-03-07T20:30:00"/>
        <d v="2026-12-31T17:30:00"/>
        <d v="2026-07-08T15:00:00"/>
        <d v="2026-04-09T22:00:00"/>
        <d v="2026-08-23T19:30:00"/>
        <d v="2026-02-19T18:30:00"/>
        <d v="2026-10-26T20:30:00"/>
        <d v="2026-09-20T23:00:00"/>
        <d v="2026-05-25T15:30:00"/>
        <d v="2026-06-08T22:30:00"/>
        <d v="2026-09-09T14:30:00"/>
        <d v="2026-03-12T15:00:00"/>
        <d v="2026-05-23T22:00:00"/>
        <d v="2026-06-16T16:30:00"/>
        <d v="2026-06-16T17:00:00"/>
        <d v="2026-01-11T14:00:00"/>
        <d v="2026-11-27T22:00:00"/>
        <d v="2026-10-27T15:30:00"/>
        <d v="2026-12-30T17:00:00"/>
        <d v="2026-01-08T19:00:00"/>
        <d v="2026-04-02T21:00:00"/>
        <d v="2026-06-21T20:30:00"/>
        <d v="2026-01-22T15:30:00"/>
        <d v="2026-09-09T17:00:00"/>
        <d v="2026-07-12T22:30:00"/>
        <d v="2026-05-07T22:30:00"/>
        <d v="2026-01-19T18:30:00"/>
        <d v="2026-09-09T23:00:00"/>
        <d v="2026-07-06T21:00:00"/>
        <d v="2026-08-11T22:00:00"/>
        <d v="2026-05-12T18:30:00"/>
        <d v="2026-06-29T17:30:00"/>
        <d v="2026-11-17T23:00:00"/>
        <d v="2026-07-24T16:30:00"/>
        <d v="2026-07-11T17:00:00"/>
        <d v="2026-09-08T22:00:00"/>
        <d v="2026-04-04T19:30:00"/>
        <d v="2026-12-16T19:30:00"/>
        <d v="2026-05-18T22:00:00"/>
        <d v="2026-06-08T14:30:00"/>
        <d v="2026-12-09T22:00:00"/>
        <d v="2026-02-08T23:30:00"/>
        <d v="2026-01-03T20:00:00"/>
        <d v="2026-10-16T22:00:00"/>
        <d v="2026-05-25T16:00:00"/>
        <d v="2026-05-08T18:30:00"/>
        <d v="2026-12-03T22:00:00"/>
        <d v="2026-09-13T19:00:00"/>
        <d v="2026-09-21T14:30:00"/>
        <d v="2026-08-10T16:00:00"/>
        <d v="2026-05-10T22:00:00"/>
        <d v="2026-05-29T17:30:00"/>
        <d v="2026-03-30T14:30:00"/>
        <d v="2026-06-04T22:30:00"/>
        <d v="2026-03-26T14:00:00"/>
        <d v="2026-07-25T19:00:00"/>
        <d v="2026-12-11T22:30:00"/>
        <d v="2026-04-23T21:30:00"/>
        <d v="2026-03-19T18:00:00"/>
        <d v="2026-05-11T14:00:00"/>
        <d v="2026-06-17T15:00:00"/>
        <d v="2026-09-06T18:00:00"/>
        <d v="2026-10-14T17:00:00"/>
        <d v="2026-11-26T16:30:00"/>
        <d v="2026-10-23T22:00:00"/>
        <d v="2026-11-04T17:30:00"/>
        <d v="2026-10-02T18:00:00"/>
        <d v="2026-04-25T19:30:00"/>
        <d v="2026-08-06T14:30:00"/>
        <d v="2026-06-11T14:30:00"/>
        <d v="2026-06-22T22:00:00"/>
        <d v="2026-08-27T19:00:00"/>
        <d v="2026-09-29T15:00:00"/>
        <d v="2026-04-22T22:00:00"/>
        <d v="2026-05-04T22:00:00"/>
        <d v="2026-11-28T23:00:00"/>
        <d v="2026-03-18T17:00:00"/>
        <d v="2026-07-06T22:30:00"/>
        <d v="2026-04-29T14:00:00"/>
        <d v="2026-09-16T20:30:00"/>
        <d v="2026-11-25T15:30:00"/>
        <d v="2026-01-11T16:00:00"/>
        <d v="2026-04-20T19:30:00"/>
        <d v="2026-01-21T17:00:00"/>
        <d v="2026-11-12T20:00:00"/>
        <d v="2026-11-10T21:30:00"/>
        <d v="2026-06-05T19:30:00"/>
        <d v="2026-02-25T21:30:00"/>
        <d v="2026-04-19T15:00:00"/>
        <d v="2026-02-12T23:30:00"/>
        <d v="2026-04-18T22:00:00"/>
        <d v="2026-09-11T20:30:00"/>
        <d v="2026-11-24T20:00:00"/>
        <d v="2026-01-21T22:00:00"/>
        <d v="2026-07-29T23:00:00"/>
        <d v="2026-11-12T19:30:00"/>
        <d v="2026-04-14T22:00:00"/>
        <d v="2026-09-21T16:30:00"/>
        <d v="2026-08-18T23:00:00"/>
        <d v="2026-12-20T16:30:00"/>
        <d v="2026-03-19T18:30:00"/>
        <d v="2026-04-01T16:30:00"/>
        <d v="2026-06-04T16:30:00"/>
        <d v="2026-10-01T17:00:00"/>
        <d v="2026-02-11T15:30:00"/>
        <d v="2026-04-18T19:30:00"/>
        <d v="2026-05-06T21:30:00"/>
        <d v="2026-08-26T15:30:00"/>
        <d v="2026-02-21T17:30:00"/>
        <d v="2026-10-22T18:30:00"/>
        <d v="2026-05-07T16:00:00"/>
        <d v="2026-01-30T14:30:00"/>
        <d v="2026-08-08T17:30:00"/>
        <d v="2026-10-19T23:00:00"/>
        <d v="2026-01-26T21:00:00"/>
        <d v="2026-01-17T20:00:00"/>
        <d v="2026-07-11T14:30:00"/>
        <d v="2026-09-05T23:00:00"/>
        <d v="2026-05-13T17:30:00"/>
        <d v="2026-04-16T22:00:00"/>
        <d v="2026-08-12T19:00:00"/>
        <d v="2026-08-15T23:00:00"/>
        <d v="2026-08-07T22:00:00"/>
        <d v="2026-10-16T21:30:00"/>
        <d v="2026-08-08T23:00:00"/>
        <d v="2026-04-19T15:30:00"/>
        <d v="2026-04-29T18:30:00"/>
        <d v="2026-10-30T21:00:00"/>
        <d v="2026-11-23T15:00:00"/>
        <d v="2026-02-28T15:30:00"/>
        <d v="2026-03-26T15:00:00"/>
        <d v="2026-01-31T21:30:00"/>
        <d v="2026-08-18T21:00:00"/>
        <d v="2026-03-17T22:00:00"/>
        <d v="2026-08-23T23:30:00"/>
        <d v="2026-12-20T18:00:00"/>
        <d v="2026-02-12T23:00:00"/>
        <d v="2026-10-20T16:30:00"/>
        <d v="2026-12-31T21:30:00"/>
        <d v="2026-12-23T22:30:00"/>
        <d v="2026-06-30T23:00:00"/>
        <d v="2026-04-07T22:30:00"/>
        <d v="2026-02-16T18:30:00"/>
        <d v="2026-10-06T16:30:00"/>
        <d v="2026-07-22T15:30:00"/>
        <d v="2026-01-31T23:30:00"/>
        <d v="2026-04-21T17:30:00"/>
        <d v="2026-03-09T20:00:00"/>
        <d v="2026-09-06T18:30:00"/>
        <d v="2026-09-18T14:30:00"/>
        <d v="2026-02-14T21:00:00"/>
        <d v="2026-09-01T16:00:00"/>
        <d v="2026-09-04T16:30:00"/>
        <d v="2026-10-04T20:30:00"/>
        <d v="2026-10-08T14:30:00"/>
        <d v="2026-08-02T23:00:00"/>
        <d v="2026-05-08T14:00:00"/>
        <d v="2026-02-23T14:30:00"/>
        <d v="2026-01-11T19:00:00"/>
        <d v="2026-09-05T18:00:00"/>
        <d v="2026-07-23T14:00:00"/>
        <d v="2026-01-22T20:30:00"/>
        <d v="2026-02-03T19:00:00"/>
        <d v="2026-09-17T19:00:00"/>
        <d v="2026-03-13T15:00:00"/>
        <d v="2026-10-26T17:00:00"/>
        <d v="2026-12-06T23:00:00"/>
        <d v="2026-05-19T20:30:00"/>
        <d v="2026-01-14T22:00:00"/>
        <d v="2026-10-13T21:30:00"/>
        <d v="2026-07-31T18:30:00"/>
        <d v="2026-05-08T22:30:00"/>
        <d v="2026-10-07T14:00:00"/>
        <d v="2026-07-28T20:30:00"/>
        <d v="2026-08-31T22:00:00"/>
        <d v="2026-11-18T19:30:00"/>
        <d v="2026-09-09T19:00:00"/>
        <d v="2026-07-08T19:30:00"/>
        <d v="2026-04-26T14:00:00"/>
        <d v="2026-11-21T17:30:00"/>
        <d v="2026-05-31T19:00:00"/>
        <d v="2026-07-04T16:30:00"/>
        <d v="2026-09-26T15:00:00"/>
        <d v="2026-01-30T17:00:00"/>
        <d v="2026-04-21T23:30:00"/>
        <d v="2026-12-19T21:00:00"/>
        <d v="2026-04-14T18:00:00"/>
        <d v="2026-03-27T19:00:00"/>
        <d v="2026-01-19T23:30:00"/>
        <d v="2026-06-25T16:30:00"/>
        <d v="2026-01-10T18:30:00"/>
        <d v="2026-02-14T18:00:00"/>
        <d v="2026-11-04T23:00:00"/>
        <d v="2026-05-30T19:00:00"/>
        <d v="2026-07-04T15:30:00"/>
        <d v="2026-03-26T17:00:00"/>
        <d v="2026-05-14T20:00:00"/>
        <d v="2026-11-26T23:00:00"/>
        <d v="2026-05-15T15:30:00"/>
        <d v="2026-08-01T16:00:00"/>
        <d v="2026-07-13T18:00:00"/>
        <d v="2026-02-24T21:00:00"/>
        <d v="2026-08-02T22:00:00"/>
        <d v="2026-12-23T21:30:00"/>
        <d v="2026-10-08T19:30:00"/>
        <d v="2026-11-19T15:30:00"/>
        <d v="2026-08-07T23:30:00"/>
        <d v="2026-06-19T17:00:00"/>
        <d v="2026-07-21T18:30:00"/>
        <d v="2026-04-02T16:00:00"/>
        <d v="2026-07-04T17:30:00"/>
        <d v="2026-11-04T14:00:00"/>
        <d v="2026-03-14T17:30:00"/>
        <d v="2026-11-25T14:00:00"/>
        <d v="2026-06-28T23:30:00"/>
        <d v="2026-05-06T17:30:00"/>
        <d v="2026-10-23T14:00:00"/>
        <d v="2026-09-19T23:00:00"/>
        <d v="2026-07-12T16:30:00"/>
        <d v="2026-01-28T20:30:00"/>
        <d v="2026-12-06T18:00:00"/>
        <d v="2026-02-03T18:00:00"/>
        <d v="2026-05-11T22:30:00"/>
        <d v="2026-06-01T16:00:00"/>
        <d v="2026-07-04T23:00:00"/>
        <d v="2026-04-11T20:30:00"/>
        <d v="2026-12-24T20:00:00"/>
        <d v="2026-01-14T21:00:00"/>
        <d v="2026-11-17T21:00:00"/>
        <d v="2026-02-10T16:30:00"/>
        <d v="2026-11-15T22:30:00"/>
        <d v="2026-03-08T16:30:00"/>
        <d v="2026-10-29T23:00:00"/>
        <d v="2026-04-08T19:30:00"/>
        <d v="2026-04-02T23:00:00"/>
        <d v="2026-05-24T21:00:00"/>
        <d v="2026-04-09T15:00:00"/>
        <d v="2026-05-02T22:30:00"/>
        <d v="2026-01-17T15:30:00"/>
        <d v="2026-12-24T20:30:00"/>
        <d v="2026-09-16T20:00:00"/>
        <d v="2026-03-29T19:00:00"/>
        <d v="2026-12-03T19:30:00"/>
        <d v="2026-12-18T14:00:00"/>
        <d v="2026-04-15T19:30:00"/>
        <d v="2026-09-27T20:30:00"/>
        <d v="2026-08-17T15:30:00"/>
        <d v="2026-11-25T20:30:00"/>
        <d v="2026-10-08T17:00:00"/>
        <d v="2026-03-24T20:00:00"/>
        <d v="2026-10-26T16:00:00"/>
        <d v="2026-04-08T17:30:00"/>
        <d v="2026-11-26T15:30:00"/>
        <d v="2026-03-24T21:00:00"/>
        <d v="2026-12-07T16:30:00"/>
        <d v="2026-07-12T19:30:00"/>
        <d v="2026-04-01T23:00:00"/>
        <d v="2026-05-26T23:00:00"/>
        <d v="2026-05-11T18:30:00"/>
        <d v="2026-05-13T21:30:00"/>
        <d v="2026-05-10T19:00:00"/>
        <d v="2026-09-27T23:00:00"/>
        <d v="2026-11-07T18:00:00"/>
        <d v="2026-05-27T17:00:00"/>
        <d v="2026-09-05T21:30:00"/>
        <d v="2026-12-08T20:30:00"/>
        <d v="2026-10-19T22:30:00"/>
        <d v="2026-11-12T22:30:00"/>
        <d v="2026-08-26T19:00:00"/>
        <d v="2026-06-18T18:30:00"/>
        <d v="2026-11-26T22:00:00"/>
        <d v="2026-03-24T14:30:00"/>
        <d v="2026-03-13T20:30:00"/>
        <d v="2026-11-16T20:30:00"/>
        <d v="2026-07-22T17:30:00"/>
        <d v="2026-02-24T15:30:00"/>
        <d v="2026-04-07T19:00:00"/>
        <d v="2026-05-28T15:30:00"/>
        <d v="2026-03-21T16:30:00"/>
        <d v="2026-06-30T14:00:00"/>
        <d v="2026-11-02T20:00:00"/>
        <d v="2026-01-24T17:00:00"/>
        <d v="2026-11-05T23:30:00"/>
        <d v="2026-09-12T18:00:00"/>
        <d v="2026-02-25T20:00:00"/>
        <d v="2026-03-19T20:30:00"/>
        <d v="2026-10-31T14:30:00"/>
        <d v="2026-03-18T18:30:00"/>
        <d v="2026-07-24T20:30:00"/>
        <d v="2026-12-27T15:00:00"/>
        <d v="2026-06-21T22:30:00"/>
        <d v="2026-09-11T14:00:00"/>
        <d v="2026-07-21T22:30:00"/>
        <d v="2026-12-22T14:30:00"/>
        <d v="2026-08-02T15:00:00"/>
        <d v="2026-12-07T18:00:00"/>
        <d v="2026-09-23T21:30:00"/>
        <d v="2026-09-03T15:30:00"/>
        <d v="2026-09-22T18:00:00"/>
        <d v="2026-01-09T16:00:00"/>
        <d v="2026-10-21T18:00:00"/>
        <d v="2026-10-06T20:30:00"/>
        <d v="2026-12-05T16:00:00"/>
        <d v="2026-07-06T14:00:00"/>
        <d v="2026-06-14T23:30:00"/>
        <d v="2026-06-10T16:00:00"/>
        <d v="2026-02-17T19:30:00"/>
        <d v="2026-04-23T16:00:00"/>
        <d v="2026-07-03T20:00:00"/>
        <d v="2026-02-04T18:00:00"/>
        <d v="2026-02-23T15:00:00"/>
        <d v="2026-12-19T15:00:00"/>
        <d v="2026-09-23T20:30:00"/>
        <d v="2026-03-05T17:00:00"/>
        <d v="2026-03-17T14:30:00"/>
        <d v="2026-03-08T23:00:00"/>
        <d v="2026-09-14T17:30:00"/>
        <d v="2026-06-11T14:00:00"/>
        <d v="2026-11-01T15:30:00"/>
        <d v="2026-02-15T17:30:00"/>
        <d v="2026-04-14T17:30:00"/>
        <d v="2026-04-28T18:00:00"/>
        <d v="2026-12-19T17:30:00"/>
        <d v="2026-08-17T14:00:00"/>
        <d v="2026-12-16T19:00:00"/>
        <d v="2026-09-15T18:30:00"/>
        <d v="2026-06-18T16:00:00"/>
        <d v="2026-07-19T18:30:00"/>
        <d v="2026-12-08T17:30:00"/>
        <d v="2026-08-27T22:00:00"/>
        <d v="2026-07-17T23:30:00"/>
        <d v="2026-04-28T14:30:00"/>
        <d v="2026-01-23T20:00:00"/>
        <d v="2026-05-22T16:00:00"/>
        <d v="2026-09-13T21:00:00"/>
        <d v="2026-03-13T21:00:00"/>
        <d v="2026-11-06T21:30:00"/>
        <d v="2026-11-16T22:00:00"/>
        <d v="2026-11-21T15:00:00"/>
        <d v="2026-11-13T15:30:00"/>
        <d v="2026-03-01T23:30:00"/>
        <d v="2026-03-27T20:30:00"/>
        <d v="2026-01-29T23:00:00"/>
        <d v="2026-06-05T20:30:00"/>
        <d v="2026-12-29T16:00:00"/>
        <d v="2026-07-13T21:30:00"/>
        <d v="2026-08-23T14:30:00"/>
        <d v="2026-04-14T20:30:00"/>
        <d v="2026-07-12T18:00:00"/>
        <d v="2026-11-08T18:00:00"/>
        <d v="2026-04-09T19:30:00"/>
        <d v="2026-10-25T18:00:00"/>
        <d v="2026-09-11T15:30:00"/>
        <d v="2026-04-25T22:00:00"/>
        <d v="2026-01-24T20:00:00"/>
        <d v="2026-05-18T20:00:00"/>
        <d v="2026-01-01T17:30:00"/>
        <d v="2026-04-13T17:30:00"/>
        <d v="2026-05-24T20:00:00"/>
        <d v="2026-01-18T15:00:00"/>
        <d v="2026-11-01T16:00:00"/>
        <d v="2026-12-23T17:30:00"/>
        <d v="2026-08-22T15:00:00"/>
        <d v="2026-11-30T14:30:00"/>
        <d v="2026-08-15T18:30:00"/>
        <d v="2026-01-01T23:30:00"/>
        <d v="2026-11-22T19:00:00"/>
        <d v="2026-02-04T18:30:00"/>
        <d v="2026-06-24T22:30:00"/>
        <d v="2026-11-08T19:30:00"/>
        <d v="2026-12-20T14:30:00"/>
        <d v="2026-06-06T18:30:00"/>
        <d v="2026-06-03T14:00:00"/>
        <d v="2026-09-19T19:30:00"/>
        <d v="2026-12-24T19:00:00"/>
        <d v="2026-01-13T19:00:00"/>
        <d v="2026-08-30T15:00:00"/>
        <d v="2026-04-25T22:30:00"/>
        <d v="2026-10-23T15:30:00"/>
        <d v="2026-10-01T23:30:00"/>
        <d v="2026-12-28T14:00:00"/>
        <d v="2026-06-27T22:30:00"/>
        <d v="2026-04-08T16:00:00"/>
        <d v="2026-01-04T15:00:00"/>
        <d v="2026-05-19T14:00:00"/>
        <d v="2026-03-07T17:00:00"/>
        <d v="2026-11-15T20:30:00"/>
        <d v="2026-04-05T15:00:00"/>
        <d v="2026-04-11T23:30:00"/>
        <d v="2026-02-22T15:00:00"/>
        <d v="2026-03-23T23:30:00"/>
        <d v="2026-08-01T14:30:00"/>
        <d v="2026-09-03T20:30:00"/>
        <d v="2026-02-17T20:00:00"/>
        <d v="2026-09-20T22:30:00"/>
        <d v="2026-06-04T22:00:00"/>
        <d v="2026-06-30T20:00:00"/>
        <d v="2026-12-21T22:30:00"/>
        <d v="2026-12-01T17:30:00"/>
        <d v="2026-03-17T16:00:00"/>
        <d v="2026-08-08T21:00:00"/>
        <d v="2026-04-03T21:30:00"/>
        <d v="2026-09-05T23:30:00"/>
        <d v="2026-04-03T20:30:00"/>
        <d v="2026-05-12T20:00:00"/>
        <d v="2026-08-24T22:30:00"/>
        <d v="2026-08-07T21:30:00"/>
        <d v="2026-11-16T16:00:00"/>
        <d v="2026-01-10T23:00:00"/>
        <d v="2026-08-13T14:30:00"/>
        <d v="2026-04-16T19:00:00"/>
        <d v="2026-12-12T23:00:00"/>
        <d v="2026-11-03T22:00:00"/>
        <d v="2026-10-05T14:00:00"/>
        <d v="2026-12-30T18:00:00"/>
        <d v="2026-10-22T15:30:00"/>
        <d v="2026-06-26T21:00:00"/>
        <d v="2026-10-18T19:00:00"/>
        <d v="2026-07-26T15:00:00"/>
        <d v="2026-10-02T17:30:00"/>
        <d v="2026-05-07T21:30:00"/>
        <d v="2026-01-30T19:30:00"/>
        <d v="2026-03-01T15:30:00"/>
        <d v="2026-02-26T21:30:00"/>
        <d v="2026-04-27T19:00:00"/>
        <d v="2026-01-22T22:00:00"/>
        <d v="2026-08-22T19:00:00"/>
        <d v="2026-12-22T23:30:00"/>
        <d v="2026-09-10T20:00:00"/>
        <d v="2026-03-07T22:30:00"/>
        <d v="2026-09-28T16:30:00"/>
        <d v="2026-04-25T23:30:00"/>
        <d v="2026-07-25T17:00:00"/>
        <d v="2026-02-14T20:30:00"/>
        <d v="2026-11-20T23:30:00"/>
        <d v="2026-02-10T14:00:00"/>
        <d v="2026-11-29T16:00:00"/>
        <d v="2026-01-19T14:30:00"/>
        <d v="2026-04-18T14:30:00"/>
        <d v="2026-02-07T23:00:00"/>
        <d v="2026-07-26T20:30:00"/>
        <d v="2026-02-18T16:30:00"/>
        <d v="2026-05-28T22:30:00"/>
        <d v="2026-04-16T16:00:00"/>
        <d v="2026-01-24T17:30:00"/>
        <d v="2026-04-23T14:00:00"/>
        <d v="2026-11-11T18:00:00"/>
        <d v="2026-09-30T23:30:00"/>
        <d v="2026-03-13T23:30:00"/>
        <d v="2026-08-20T14:00:00"/>
        <d v="2026-01-17T20:30:00"/>
        <d v="2026-06-20T22:30:00"/>
        <d v="2026-12-13T19:30:00"/>
        <d v="2026-12-16T18:00:00"/>
        <d v="2026-06-25T17:00:00"/>
        <d v="2026-08-08T17:00:00"/>
        <d v="2026-09-29T22:30:00"/>
        <d v="2026-06-13T14:30:00"/>
        <d v="2026-08-26T17:00:00"/>
        <d v="2026-02-03T18:30:00"/>
        <d v="2026-09-18T22:00:00"/>
        <d v="2026-09-25T19:30:00"/>
        <d v="2026-09-20T19:00:00"/>
        <d v="2026-04-17T20:30:00"/>
        <d v="2026-08-27T23:00:00"/>
        <d v="2026-12-06T20:00:00"/>
        <d v="2026-05-24T22:00:00"/>
        <d v="2026-06-23T15:30:00"/>
        <d v="2026-02-08T18:00:00"/>
        <d v="2026-10-27T14:00:00"/>
        <d v="2026-01-03T14:00:00"/>
        <d v="2026-06-18T23:00:00"/>
        <d v="2026-02-02T15:00:00"/>
        <d v="2026-04-28T23:00:00"/>
        <d v="2026-05-04T18:00:00"/>
        <d v="2026-11-07T20:30:00"/>
        <d v="2026-11-06T20:00:00"/>
        <d v="2026-01-13T20:00:00"/>
        <d v="2026-01-28T15:00:00"/>
        <d v="2026-01-12T22:00:00"/>
        <d v="2026-09-20T16:30:00"/>
        <d v="2026-02-04T19:00:00"/>
        <d v="2026-08-21T18:30:00"/>
        <d v="2026-12-28T15:30:00"/>
        <d v="2026-01-31T19:00:00"/>
        <d v="2026-07-25T21:30:00"/>
        <d v="2026-03-30T22:00:00"/>
        <d v="2026-10-09T17:30:00"/>
        <d v="2026-02-26T19:00:00"/>
        <d v="2026-01-03T15:30:00"/>
        <d v="2026-12-31T18:30:00"/>
        <d v="2026-07-01T17:00:00"/>
        <d v="2026-04-07T18:00:00"/>
        <d v="2026-02-09T17:30:00"/>
        <d v="2026-04-14T15:00:00"/>
        <d v="2026-09-12T22:30:00"/>
        <d v="2026-07-02T14:00:00"/>
        <d v="2026-02-21T15:00:00"/>
        <d v="2026-03-12T19:30:00"/>
        <d v="2026-12-12T18:30:00"/>
        <d v="2026-07-29T14:00:00"/>
        <d v="2026-10-21T22:30:00"/>
        <d v="2026-11-03T14:30:00"/>
        <d v="2026-05-26T14:30:00"/>
        <d v="2026-10-13T20:30:00"/>
        <d v="2026-01-08T20:30:00"/>
        <d v="2026-09-29T21:30:00"/>
        <d v="2026-10-27T21:30:00"/>
        <d v="2026-04-13T20:00:00"/>
        <d v="2026-12-15T16:30:00"/>
        <d v="2026-01-17T15:00:00"/>
        <d v="2026-08-07T15:30:00"/>
        <d v="2026-08-10T15:30:00"/>
        <d v="2026-05-01T21:00:00"/>
        <d v="2026-12-20T14:00:00"/>
        <d v="2026-07-06T18:30:00"/>
        <d v="2026-02-06T16:00:00"/>
        <d v="2026-10-14T15:30:00"/>
        <d v="2026-01-23T15:30:00"/>
        <d v="2026-02-14T19:30:00"/>
        <d v="2026-12-21T20:00:00"/>
        <d v="2026-12-16T16:00:00"/>
        <d v="2026-04-03T16:00:00"/>
      </sharedItems>
      <fieldGroup par="18"/>
    </cacheField>
    <cacheField name="seats_booked" numFmtId="0">
      <sharedItems containsSemiMixedTypes="0" containsString="0" containsNumber="1" containsInteger="1" minValue="1" maxValue="6"/>
    </cacheField>
    <cacheField name="ticket_amount" numFmtId="0">
      <sharedItems containsSemiMixedTypes="0" containsString="0" containsNumber="1" containsInteger="1" minValue="8" maxValue="60" count="17">
        <n v="54"/>
        <n v="9"/>
        <n v="36"/>
        <n v="18"/>
        <n v="32"/>
        <n v="48"/>
        <n v="45"/>
        <n v="8"/>
        <n v="24"/>
        <n v="27"/>
        <n v="30"/>
        <n v="40"/>
        <n v="16"/>
        <n v="20"/>
        <n v="60"/>
        <n v="10"/>
        <n v="50"/>
      </sharedItems>
    </cacheField>
    <cacheField name="booking_status" numFmtId="0">
      <sharedItems count="2">
        <s v="Cancelled"/>
        <s v="Confirmed"/>
      </sharedItems>
    </cacheField>
    <cacheField name="payment_method" numFmtId="0">
      <sharedItems count="3">
        <s v="Credit Card"/>
        <s v="Debit Card"/>
        <s v="Cash"/>
      </sharedItems>
    </cacheField>
    <cacheField name="ticket_price" numFmtId="0">
      <sharedItems containsSemiMixedTypes="0" containsString="0" containsNumber="1" containsInteger="1" minValue="8" maxValue="10"/>
    </cacheField>
    <cacheField name="year" numFmtId="0">
      <sharedItems containsSemiMixedTypes="0" containsString="0" containsNumber="1" containsInteger="1" minValue="2026" maxValue="2026"/>
    </cacheField>
    <cacheField name="month" numFmtId="0">
      <sharedItems containsSemiMixedTypes="0" containsString="0" containsNumber="1" containsInteger="1" minValue="1" maxValue="12" count="12">
        <n v="12"/>
        <n v="1"/>
        <n v="6"/>
        <n v="2"/>
        <n v="4"/>
        <n v="3"/>
        <n v="10"/>
        <n v="11"/>
        <n v="8"/>
        <n v="5"/>
        <n v="9"/>
        <n v="7"/>
      </sharedItems>
    </cacheField>
    <cacheField name="hour" numFmtId="0">
      <sharedItems containsSemiMixedTypes="0" containsString="0" containsNumber="1" containsInteger="1" minValue="14" maxValue="23"/>
    </cacheField>
    <cacheField name="weekday" numFmtId="0">
      <sharedItems count="7">
        <s v="Wednesday"/>
        <s v="Saturday"/>
        <s v="Sunday"/>
        <s v="Monday"/>
        <s v="Tuesday"/>
        <s v="Thursday"/>
        <s v="Friday"/>
      </sharedItems>
    </cacheField>
    <cacheField name="day_type" numFmtId="0">
      <sharedItems/>
    </cacheField>
    <cacheField name="movie_name" numFmtId="0">
      <sharedItems count="20">
        <s v="Shadow Code"/>
        <s v="Little Stars"/>
        <s v="The Last Kingdom"/>
        <s v="Funny Neighbours"/>
        <s v="Magic Planet"/>
        <s v="Family Weekend"/>
        <s v="The Last Mission"/>
        <s v="The Forgotten Road"/>
        <s v="Baku Nights"/>
        <s v="Robot World"/>
        <s v="City Hunters"/>
        <s v="Summer Story"/>
        <s v="Ocean Mystery"/>
        <s v="Beyond Mars"/>
        <s v="The Silent House"/>
        <s v="Love in Baku"/>
        <s v="Lost Memories"/>
        <s v="Code 404"/>
        <s v="The Detective"/>
        <s v="Midnight Call"/>
      </sharedItems>
    </cacheField>
    <cacheField name="theatre_name" numFmtId="0">
      <sharedItems count="10">
        <s v="Ganja Cinema Center"/>
        <s v="Cinema Plus Ganjlik Mall"/>
        <s v="Shaki Cinema"/>
        <s v="Baku City Cinema"/>
        <s v="Sumqayit Cinema"/>
        <s v="Park Cinema Flame Towers"/>
        <s v="Park Cinema Metro Park"/>
        <s v="Mingachevir Cinema"/>
        <s v="Ganja Mall Cinema"/>
        <s v="Cinema Plus 28 Mall"/>
      </sharedItems>
    </cacheField>
    <cacheField name="Days (show_date)" numFmtId="0" databaseField="0">
      <fieldGroup base="4">
        <rangePr groupBy="days" startDate="2026-01-01T17:30:00" endDate="2026-12-31T21:3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26"/>
        </groupItems>
      </fieldGroup>
    </cacheField>
    <cacheField name="Months (show_date)" numFmtId="0" databaseField="0">
      <fieldGroup base="4">
        <rangePr groupBy="months" startDate="2026-01-01T17:30:00" endDate="2026-12-31T21:30:00"/>
        <groupItems count="14">
          <s v="&lt;1/1/2026"/>
          <s v="Jan"/>
          <s v="Feb"/>
          <s v="Mar"/>
          <s v="Apr"/>
          <s v="May"/>
          <s v="Jun"/>
          <s v="Jul"/>
          <s v="Aug"/>
          <s v="Sep"/>
          <s v="Oct"/>
          <s v="Nov"/>
          <s v="Dec"/>
          <s v="&gt;12/31/2026"/>
        </groupItems>
      </fieldGroup>
    </cacheField>
  </cacheFields>
  <extLst>
    <ext xmlns:x14="http://schemas.microsoft.com/office/spreadsheetml/2009/9/main" uri="{725AE2AE-9491-48be-B2B4-4EB974FC3084}">
      <x14:pivotCacheDefinition pivotCacheId="1639231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3"/>
    <n v="1"/>
    <n v="3"/>
    <n v="6"/>
    <x v="0"/>
    <n v="6"/>
    <x v="0"/>
    <x v="0"/>
    <x v="0"/>
    <n v="9"/>
    <n v="2026"/>
    <x v="0"/>
    <n v="23"/>
    <x v="0"/>
    <s v="weekday"/>
    <x v="0"/>
    <x v="0"/>
  </r>
  <r>
    <n v="14"/>
    <n v="17"/>
    <n v="10"/>
    <n v="4"/>
    <x v="1"/>
    <n v="1"/>
    <x v="1"/>
    <x v="1"/>
    <x v="0"/>
    <n v="9"/>
    <n v="2026"/>
    <x v="1"/>
    <n v="14"/>
    <x v="1"/>
    <s v="Weekend"/>
    <x v="1"/>
    <x v="1"/>
  </r>
  <r>
    <n v="15"/>
    <n v="4"/>
    <n v="14"/>
    <n v="9"/>
    <x v="2"/>
    <n v="4"/>
    <x v="2"/>
    <x v="1"/>
    <x v="1"/>
    <n v="9"/>
    <n v="2026"/>
    <x v="2"/>
    <n v="14"/>
    <x v="2"/>
    <s v="Weekend"/>
    <x v="2"/>
    <x v="2"/>
  </r>
  <r>
    <n v="16"/>
    <n v="7"/>
    <n v="10"/>
    <n v="10"/>
    <x v="3"/>
    <n v="2"/>
    <x v="3"/>
    <x v="1"/>
    <x v="2"/>
    <n v="9"/>
    <n v="2026"/>
    <x v="3"/>
    <n v="15"/>
    <x v="2"/>
    <s v="Weekend"/>
    <x v="1"/>
    <x v="3"/>
  </r>
  <r>
    <n v="17"/>
    <n v="2"/>
    <n v="7"/>
    <n v="7"/>
    <x v="4"/>
    <n v="4"/>
    <x v="4"/>
    <x v="1"/>
    <x v="0"/>
    <n v="8"/>
    <n v="2026"/>
    <x v="4"/>
    <n v="16"/>
    <x v="3"/>
    <s v="weekday"/>
    <x v="3"/>
    <x v="4"/>
  </r>
  <r>
    <n v="18"/>
    <n v="17"/>
    <n v="20"/>
    <n v="6"/>
    <x v="5"/>
    <n v="6"/>
    <x v="5"/>
    <x v="1"/>
    <x v="2"/>
    <n v="8"/>
    <n v="2026"/>
    <x v="5"/>
    <n v="18"/>
    <x v="0"/>
    <s v="weekday"/>
    <x v="4"/>
    <x v="0"/>
  </r>
  <r>
    <n v="19"/>
    <n v="15"/>
    <n v="15"/>
    <n v="9"/>
    <x v="6"/>
    <n v="6"/>
    <x v="0"/>
    <x v="1"/>
    <x v="0"/>
    <n v="9"/>
    <n v="2026"/>
    <x v="6"/>
    <n v="22"/>
    <x v="4"/>
    <s v="weekday"/>
    <x v="5"/>
    <x v="2"/>
  </r>
  <r>
    <n v="20"/>
    <n v="17"/>
    <n v="1"/>
    <n v="1"/>
    <x v="7"/>
    <n v="5"/>
    <x v="6"/>
    <x v="1"/>
    <x v="1"/>
    <n v="9"/>
    <n v="2026"/>
    <x v="6"/>
    <n v="15"/>
    <x v="1"/>
    <s v="Weekend"/>
    <x v="6"/>
    <x v="5"/>
  </r>
  <r>
    <n v="21"/>
    <n v="13"/>
    <n v="8"/>
    <n v="1"/>
    <x v="8"/>
    <n v="1"/>
    <x v="7"/>
    <x v="1"/>
    <x v="2"/>
    <n v="8"/>
    <n v="2026"/>
    <x v="7"/>
    <n v="18"/>
    <x v="5"/>
    <s v="weekday"/>
    <x v="7"/>
    <x v="5"/>
  </r>
  <r>
    <n v="22"/>
    <n v="19"/>
    <n v="2"/>
    <n v="3"/>
    <x v="9"/>
    <n v="3"/>
    <x v="8"/>
    <x v="1"/>
    <x v="1"/>
    <n v="8"/>
    <n v="2026"/>
    <x v="4"/>
    <n v="18"/>
    <x v="6"/>
    <s v="weekday"/>
    <x v="8"/>
    <x v="6"/>
  </r>
  <r>
    <n v="23"/>
    <n v="6"/>
    <n v="7"/>
    <n v="8"/>
    <x v="10"/>
    <n v="1"/>
    <x v="7"/>
    <x v="1"/>
    <x v="2"/>
    <n v="8"/>
    <n v="2026"/>
    <x v="5"/>
    <n v="18"/>
    <x v="5"/>
    <s v="weekday"/>
    <x v="3"/>
    <x v="7"/>
  </r>
  <r>
    <n v="24"/>
    <n v="19"/>
    <n v="18"/>
    <n v="4"/>
    <x v="11"/>
    <n v="1"/>
    <x v="1"/>
    <x v="1"/>
    <x v="0"/>
    <n v="9"/>
    <n v="2026"/>
    <x v="8"/>
    <n v="20"/>
    <x v="1"/>
    <s v="Weekend"/>
    <x v="9"/>
    <x v="1"/>
  </r>
  <r>
    <n v="25"/>
    <n v="18"/>
    <n v="9"/>
    <n v="3"/>
    <x v="12"/>
    <n v="1"/>
    <x v="7"/>
    <x v="1"/>
    <x v="2"/>
    <n v="8"/>
    <n v="2026"/>
    <x v="3"/>
    <n v="19"/>
    <x v="4"/>
    <s v="weekday"/>
    <x v="10"/>
    <x v="6"/>
  </r>
  <r>
    <n v="26"/>
    <n v="12"/>
    <n v="20"/>
    <n v="8"/>
    <x v="13"/>
    <n v="1"/>
    <x v="7"/>
    <x v="1"/>
    <x v="0"/>
    <n v="8"/>
    <n v="2026"/>
    <x v="3"/>
    <n v="16"/>
    <x v="4"/>
    <s v="weekday"/>
    <x v="4"/>
    <x v="7"/>
  </r>
  <r>
    <n v="27"/>
    <n v="20"/>
    <n v="9"/>
    <n v="8"/>
    <x v="14"/>
    <n v="6"/>
    <x v="0"/>
    <x v="1"/>
    <x v="0"/>
    <n v="9"/>
    <n v="2026"/>
    <x v="9"/>
    <n v="16"/>
    <x v="1"/>
    <s v="Weekend"/>
    <x v="10"/>
    <x v="7"/>
  </r>
  <r>
    <n v="28"/>
    <n v="14"/>
    <n v="2"/>
    <n v="9"/>
    <x v="15"/>
    <n v="1"/>
    <x v="1"/>
    <x v="1"/>
    <x v="2"/>
    <n v="9"/>
    <n v="2026"/>
    <x v="0"/>
    <n v="18"/>
    <x v="1"/>
    <s v="Weekend"/>
    <x v="8"/>
    <x v="2"/>
  </r>
  <r>
    <n v="29"/>
    <n v="9"/>
    <n v="1"/>
    <n v="1"/>
    <x v="16"/>
    <n v="6"/>
    <x v="5"/>
    <x v="1"/>
    <x v="2"/>
    <n v="8"/>
    <n v="2026"/>
    <x v="4"/>
    <n v="16"/>
    <x v="0"/>
    <s v="weekday"/>
    <x v="6"/>
    <x v="5"/>
  </r>
  <r>
    <n v="30"/>
    <n v="18"/>
    <n v="3"/>
    <n v="3"/>
    <x v="17"/>
    <n v="1"/>
    <x v="7"/>
    <x v="1"/>
    <x v="1"/>
    <n v="8"/>
    <n v="2026"/>
    <x v="9"/>
    <n v="14"/>
    <x v="5"/>
    <s v="weekday"/>
    <x v="0"/>
    <x v="6"/>
  </r>
  <r>
    <n v="31"/>
    <n v="8"/>
    <n v="13"/>
    <n v="3"/>
    <x v="18"/>
    <n v="4"/>
    <x v="4"/>
    <x v="1"/>
    <x v="1"/>
    <n v="8"/>
    <n v="2026"/>
    <x v="5"/>
    <n v="18"/>
    <x v="3"/>
    <s v="weekday"/>
    <x v="11"/>
    <x v="6"/>
  </r>
  <r>
    <n v="32"/>
    <n v="13"/>
    <n v="15"/>
    <n v="6"/>
    <x v="19"/>
    <n v="1"/>
    <x v="1"/>
    <x v="1"/>
    <x v="2"/>
    <n v="9"/>
    <n v="2026"/>
    <x v="7"/>
    <n v="21"/>
    <x v="6"/>
    <s v="weekday"/>
    <x v="5"/>
    <x v="0"/>
  </r>
  <r>
    <n v="33"/>
    <n v="14"/>
    <n v="15"/>
    <n v="7"/>
    <x v="20"/>
    <n v="2"/>
    <x v="3"/>
    <x v="1"/>
    <x v="0"/>
    <n v="9"/>
    <n v="2026"/>
    <x v="10"/>
    <n v="17"/>
    <x v="2"/>
    <s v="Weekend"/>
    <x v="5"/>
    <x v="4"/>
  </r>
  <r>
    <n v="34"/>
    <n v="17"/>
    <n v="14"/>
    <n v="1"/>
    <x v="21"/>
    <n v="4"/>
    <x v="2"/>
    <x v="1"/>
    <x v="2"/>
    <n v="9"/>
    <n v="2026"/>
    <x v="5"/>
    <n v="23"/>
    <x v="6"/>
    <s v="weekday"/>
    <x v="2"/>
    <x v="5"/>
  </r>
  <r>
    <n v="35"/>
    <n v="17"/>
    <n v="15"/>
    <n v="5"/>
    <x v="22"/>
    <n v="5"/>
    <x v="6"/>
    <x v="1"/>
    <x v="2"/>
    <n v="9"/>
    <n v="2026"/>
    <x v="2"/>
    <n v="17"/>
    <x v="2"/>
    <s v="Weekend"/>
    <x v="5"/>
    <x v="8"/>
  </r>
  <r>
    <n v="36"/>
    <n v="16"/>
    <n v="18"/>
    <n v="3"/>
    <x v="23"/>
    <n v="6"/>
    <x v="5"/>
    <x v="1"/>
    <x v="1"/>
    <n v="8"/>
    <n v="2026"/>
    <x v="5"/>
    <n v="18"/>
    <x v="3"/>
    <s v="weekday"/>
    <x v="9"/>
    <x v="6"/>
  </r>
  <r>
    <n v="37"/>
    <n v="2"/>
    <n v="1"/>
    <n v="3"/>
    <x v="24"/>
    <n v="4"/>
    <x v="4"/>
    <x v="1"/>
    <x v="2"/>
    <n v="8"/>
    <n v="2026"/>
    <x v="3"/>
    <n v="15"/>
    <x v="3"/>
    <s v="weekday"/>
    <x v="6"/>
    <x v="6"/>
  </r>
  <r>
    <n v="38"/>
    <n v="8"/>
    <n v="16"/>
    <n v="4"/>
    <x v="25"/>
    <n v="3"/>
    <x v="9"/>
    <x v="0"/>
    <x v="0"/>
    <n v="9"/>
    <n v="2026"/>
    <x v="0"/>
    <n v="15"/>
    <x v="1"/>
    <s v="Weekend"/>
    <x v="12"/>
    <x v="1"/>
  </r>
  <r>
    <n v="39"/>
    <n v="16"/>
    <n v="6"/>
    <n v="4"/>
    <x v="26"/>
    <n v="4"/>
    <x v="4"/>
    <x v="1"/>
    <x v="2"/>
    <n v="8"/>
    <n v="2026"/>
    <x v="1"/>
    <n v="14"/>
    <x v="4"/>
    <s v="weekday"/>
    <x v="13"/>
    <x v="1"/>
  </r>
  <r>
    <n v="40"/>
    <n v="2"/>
    <n v="13"/>
    <n v="8"/>
    <x v="27"/>
    <n v="1"/>
    <x v="7"/>
    <x v="1"/>
    <x v="2"/>
    <n v="8"/>
    <n v="2026"/>
    <x v="11"/>
    <n v="20"/>
    <x v="5"/>
    <s v="weekday"/>
    <x v="11"/>
    <x v="7"/>
  </r>
  <r>
    <n v="41"/>
    <n v="4"/>
    <n v="16"/>
    <n v="1"/>
    <x v="28"/>
    <n v="1"/>
    <x v="7"/>
    <x v="1"/>
    <x v="0"/>
    <n v="8"/>
    <n v="2026"/>
    <x v="11"/>
    <n v="20"/>
    <x v="6"/>
    <s v="weekday"/>
    <x v="12"/>
    <x v="5"/>
  </r>
  <r>
    <n v="42"/>
    <n v="6"/>
    <n v="2"/>
    <n v="1"/>
    <x v="29"/>
    <n v="3"/>
    <x v="10"/>
    <x v="1"/>
    <x v="0"/>
    <n v="10"/>
    <n v="2026"/>
    <x v="7"/>
    <n v="22"/>
    <x v="2"/>
    <s v="Weekend"/>
    <x v="8"/>
    <x v="5"/>
  </r>
  <r>
    <n v="43"/>
    <n v="7"/>
    <n v="15"/>
    <n v="1"/>
    <x v="30"/>
    <n v="3"/>
    <x v="8"/>
    <x v="1"/>
    <x v="2"/>
    <n v="8"/>
    <n v="2026"/>
    <x v="10"/>
    <n v="15"/>
    <x v="6"/>
    <s v="weekday"/>
    <x v="5"/>
    <x v="5"/>
  </r>
  <r>
    <n v="44"/>
    <n v="13"/>
    <n v="20"/>
    <n v="6"/>
    <x v="31"/>
    <n v="4"/>
    <x v="11"/>
    <x v="1"/>
    <x v="1"/>
    <n v="10"/>
    <n v="2026"/>
    <x v="1"/>
    <n v="22"/>
    <x v="1"/>
    <s v="Weekend"/>
    <x v="4"/>
    <x v="0"/>
  </r>
  <r>
    <n v="45"/>
    <n v="13"/>
    <n v="5"/>
    <n v="8"/>
    <x v="32"/>
    <n v="1"/>
    <x v="7"/>
    <x v="1"/>
    <x v="1"/>
    <n v="8"/>
    <n v="2026"/>
    <x v="7"/>
    <n v="19"/>
    <x v="6"/>
    <s v="weekday"/>
    <x v="14"/>
    <x v="7"/>
  </r>
  <r>
    <n v="46"/>
    <n v="11"/>
    <n v="3"/>
    <n v="4"/>
    <x v="33"/>
    <n v="3"/>
    <x v="8"/>
    <x v="1"/>
    <x v="0"/>
    <n v="8"/>
    <n v="2026"/>
    <x v="7"/>
    <n v="20"/>
    <x v="6"/>
    <s v="weekday"/>
    <x v="0"/>
    <x v="1"/>
  </r>
  <r>
    <n v="47"/>
    <n v="16"/>
    <n v="7"/>
    <n v="5"/>
    <x v="34"/>
    <n v="5"/>
    <x v="6"/>
    <x v="1"/>
    <x v="1"/>
    <n v="9"/>
    <n v="2026"/>
    <x v="2"/>
    <n v="18"/>
    <x v="1"/>
    <s v="Weekend"/>
    <x v="3"/>
    <x v="8"/>
  </r>
  <r>
    <n v="48"/>
    <n v="16"/>
    <n v="14"/>
    <n v="8"/>
    <x v="35"/>
    <n v="4"/>
    <x v="2"/>
    <x v="1"/>
    <x v="1"/>
    <n v="9"/>
    <n v="2026"/>
    <x v="11"/>
    <n v="23"/>
    <x v="0"/>
    <s v="weekday"/>
    <x v="2"/>
    <x v="7"/>
  </r>
  <r>
    <n v="49"/>
    <n v="17"/>
    <n v="20"/>
    <n v="3"/>
    <x v="36"/>
    <n v="1"/>
    <x v="7"/>
    <x v="0"/>
    <x v="0"/>
    <n v="8"/>
    <n v="2026"/>
    <x v="1"/>
    <n v="20"/>
    <x v="0"/>
    <s v="weekday"/>
    <x v="4"/>
    <x v="6"/>
  </r>
  <r>
    <n v="50"/>
    <n v="6"/>
    <n v="5"/>
    <n v="9"/>
    <x v="37"/>
    <n v="1"/>
    <x v="7"/>
    <x v="1"/>
    <x v="2"/>
    <n v="8"/>
    <n v="2026"/>
    <x v="6"/>
    <n v="20"/>
    <x v="3"/>
    <s v="weekday"/>
    <x v="14"/>
    <x v="2"/>
  </r>
  <r>
    <n v="51"/>
    <n v="5"/>
    <n v="1"/>
    <n v="1"/>
    <x v="38"/>
    <n v="1"/>
    <x v="7"/>
    <x v="0"/>
    <x v="1"/>
    <n v="8"/>
    <n v="2026"/>
    <x v="11"/>
    <n v="15"/>
    <x v="6"/>
    <s v="weekday"/>
    <x v="6"/>
    <x v="5"/>
  </r>
  <r>
    <n v="52"/>
    <n v="20"/>
    <n v="6"/>
    <n v="7"/>
    <x v="39"/>
    <n v="3"/>
    <x v="10"/>
    <x v="1"/>
    <x v="0"/>
    <n v="10"/>
    <n v="2026"/>
    <x v="3"/>
    <n v="22"/>
    <x v="2"/>
    <s v="Weekend"/>
    <x v="13"/>
    <x v="4"/>
  </r>
  <r>
    <n v="53"/>
    <n v="9"/>
    <n v="6"/>
    <n v="9"/>
    <x v="40"/>
    <n v="1"/>
    <x v="7"/>
    <x v="1"/>
    <x v="2"/>
    <n v="8"/>
    <n v="2026"/>
    <x v="11"/>
    <n v="19"/>
    <x v="5"/>
    <s v="weekday"/>
    <x v="13"/>
    <x v="2"/>
  </r>
  <r>
    <n v="54"/>
    <n v="1"/>
    <n v="15"/>
    <n v="1"/>
    <x v="41"/>
    <n v="2"/>
    <x v="12"/>
    <x v="1"/>
    <x v="1"/>
    <n v="8"/>
    <n v="2026"/>
    <x v="11"/>
    <n v="20"/>
    <x v="3"/>
    <s v="weekday"/>
    <x v="5"/>
    <x v="5"/>
  </r>
  <r>
    <n v="55"/>
    <n v="18"/>
    <n v="5"/>
    <n v="4"/>
    <x v="42"/>
    <n v="4"/>
    <x v="2"/>
    <x v="1"/>
    <x v="2"/>
    <n v="9"/>
    <n v="2026"/>
    <x v="2"/>
    <n v="21"/>
    <x v="5"/>
    <s v="weekday"/>
    <x v="14"/>
    <x v="1"/>
  </r>
  <r>
    <n v="56"/>
    <n v="8"/>
    <n v="14"/>
    <n v="2"/>
    <x v="43"/>
    <n v="4"/>
    <x v="4"/>
    <x v="1"/>
    <x v="2"/>
    <n v="8"/>
    <n v="2026"/>
    <x v="9"/>
    <n v="17"/>
    <x v="0"/>
    <s v="weekday"/>
    <x v="2"/>
    <x v="9"/>
  </r>
  <r>
    <n v="57"/>
    <n v="12"/>
    <n v="2"/>
    <n v="4"/>
    <x v="44"/>
    <n v="1"/>
    <x v="7"/>
    <x v="1"/>
    <x v="1"/>
    <n v="8"/>
    <n v="2026"/>
    <x v="2"/>
    <n v="14"/>
    <x v="5"/>
    <s v="weekday"/>
    <x v="8"/>
    <x v="1"/>
  </r>
  <r>
    <n v="58"/>
    <n v="4"/>
    <n v="13"/>
    <n v="6"/>
    <x v="45"/>
    <n v="4"/>
    <x v="4"/>
    <x v="1"/>
    <x v="2"/>
    <n v="8"/>
    <n v="2026"/>
    <x v="6"/>
    <n v="14"/>
    <x v="5"/>
    <s v="weekday"/>
    <x v="11"/>
    <x v="0"/>
  </r>
  <r>
    <n v="59"/>
    <n v="9"/>
    <n v="2"/>
    <n v="2"/>
    <x v="46"/>
    <n v="6"/>
    <x v="0"/>
    <x v="1"/>
    <x v="0"/>
    <n v="9"/>
    <n v="2026"/>
    <x v="7"/>
    <n v="18"/>
    <x v="2"/>
    <s v="Weekend"/>
    <x v="8"/>
    <x v="9"/>
  </r>
  <r>
    <n v="60"/>
    <n v="18"/>
    <n v="6"/>
    <n v="10"/>
    <x v="47"/>
    <n v="5"/>
    <x v="11"/>
    <x v="0"/>
    <x v="2"/>
    <n v="8"/>
    <n v="2026"/>
    <x v="10"/>
    <n v="17"/>
    <x v="0"/>
    <s v="weekday"/>
    <x v="13"/>
    <x v="3"/>
  </r>
  <r>
    <n v="61"/>
    <n v="11"/>
    <n v="5"/>
    <n v="1"/>
    <x v="48"/>
    <n v="5"/>
    <x v="11"/>
    <x v="1"/>
    <x v="2"/>
    <n v="8"/>
    <n v="2026"/>
    <x v="10"/>
    <n v="20"/>
    <x v="4"/>
    <s v="weekday"/>
    <x v="14"/>
    <x v="5"/>
  </r>
  <r>
    <n v="62"/>
    <n v="18"/>
    <n v="6"/>
    <n v="4"/>
    <x v="49"/>
    <n v="2"/>
    <x v="3"/>
    <x v="1"/>
    <x v="0"/>
    <n v="9"/>
    <n v="2026"/>
    <x v="4"/>
    <n v="17"/>
    <x v="1"/>
    <s v="Weekend"/>
    <x v="13"/>
    <x v="1"/>
  </r>
  <r>
    <n v="63"/>
    <n v="18"/>
    <n v="4"/>
    <n v="1"/>
    <x v="50"/>
    <n v="2"/>
    <x v="12"/>
    <x v="1"/>
    <x v="0"/>
    <n v="8"/>
    <n v="2026"/>
    <x v="7"/>
    <n v="19"/>
    <x v="6"/>
    <s v="weekday"/>
    <x v="15"/>
    <x v="5"/>
  </r>
  <r>
    <n v="64"/>
    <n v="8"/>
    <n v="2"/>
    <n v="10"/>
    <x v="51"/>
    <n v="5"/>
    <x v="11"/>
    <x v="0"/>
    <x v="2"/>
    <n v="8"/>
    <n v="2026"/>
    <x v="7"/>
    <n v="17"/>
    <x v="5"/>
    <s v="weekday"/>
    <x v="8"/>
    <x v="3"/>
  </r>
  <r>
    <n v="65"/>
    <n v="1"/>
    <n v="13"/>
    <n v="3"/>
    <x v="52"/>
    <n v="1"/>
    <x v="1"/>
    <x v="1"/>
    <x v="2"/>
    <n v="9"/>
    <n v="2026"/>
    <x v="1"/>
    <n v="21"/>
    <x v="5"/>
    <s v="weekday"/>
    <x v="11"/>
    <x v="6"/>
  </r>
  <r>
    <n v="66"/>
    <n v="4"/>
    <n v="15"/>
    <n v="6"/>
    <x v="53"/>
    <n v="4"/>
    <x v="2"/>
    <x v="1"/>
    <x v="0"/>
    <n v="9"/>
    <n v="2026"/>
    <x v="3"/>
    <n v="21"/>
    <x v="6"/>
    <s v="weekday"/>
    <x v="5"/>
    <x v="0"/>
  </r>
  <r>
    <n v="67"/>
    <n v="12"/>
    <n v="2"/>
    <n v="5"/>
    <x v="54"/>
    <n v="3"/>
    <x v="9"/>
    <x v="1"/>
    <x v="1"/>
    <n v="9"/>
    <n v="2026"/>
    <x v="1"/>
    <n v="16"/>
    <x v="1"/>
    <s v="Weekend"/>
    <x v="8"/>
    <x v="8"/>
  </r>
  <r>
    <n v="68"/>
    <n v="10"/>
    <n v="3"/>
    <n v="4"/>
    <x v="55"/>
    <n v="2"/>
    <x v="13"/>
    <x v="1"/>
    <x v="1"/>
    <n v="10"/>
    <n v="2026"/>
    <x v="4"/>
    <n v="21"/>
    <x v="2"/>
    <s v="Weekend"/>
    <x v="0"/>
    <x v="1"/>
  </r>
  <r>
    <n v="69"/>
    <n v="11"/>
    <n v="1"/>
    <n v="10"/>
    <x v="56"/>
    <n v="1"/>
    <x v="1"/>
    <x v="1"/>
    <x v="1"/>
    <n v="9"/>
    <n v="2026"/>
    <x v="11"/>
    <n v="15"/>
    <x v="2"/>
    <s v="Weekend"/>
    <x v="6"/>
    <x v="3"/>
  </r>
  <r>
    <n v="70"/>
    <n v="4"/>
    <n v="18"/>
    <n v="4"/>
    <x v="57"/>
    <n v="2"/>
    <x v="3"/>
    <x v="1"/>
    <x v="1"/>
    <n v="9"/>
    <n v="2026"/>
    <x v="5"/>
    <n v="23"/>
    <x v="0"/>
    <s v="weekday"/>
    <x v="9"/>
    <x v="1"/>
  </r>
  <r>
    <n v="71"/>
    <n v="20"/>
    <n v="14"/>
    <n v="4"/>
    <x v="58"/>
    <n v="2"/>
    <x v="12"/>
    <x v="1"/>
    <x v="2"/>
    <n v="8"/>
    <n v="2026"/>
    <x v="8"/>
    <n v="14"/>
    <x v="5"/>
    <s v="weekday"/>
    <x v="2"/>
    <x v="1"/>
  </r>
  <r>
    <n v="72"/>
    <n v="5"/>
    <n v="14"/>
    <n v="10"/>
    <x v="59"/>
    <n v="1"/>
    <x v="7"/>
    <x v="1"/>
    <x v="2"/>
    <n v="8"/>
    <n v="2026"/>
    <x v="11"/>
    <n v="18"/>
    <x v="4"/>
    <s v="weekday"/>
    <x v="2"/>
    <x v="3"/>
  </r>
  <r>
    <n v="73"/>
    <n v="4"/>
    <n v="4"/>
    <n v="10"/>
    <x v="60"/>
    <n v="6"/>
    <x v="5"/>
    <x v="1"/>
    <x v="2"/>
    <n v="8"/>
    <n v="2026"/>
    <x v="1"/>
    <n v="18"/>
    <x v="6"/>
    <s v="weekday"/>
    <x v="15"/>
    <x v="3"/>
  </r>
  <r>
    <n v="74"/>
    <n v="11"/>
    <n v="17"/>
    <n v="10"/>
    <x v="61"/>
    <n v="2"/>
    <x v="3"/>
    <x v="1"/>
    <x v="1"/>
    <n v="9"/>
    <n v="2026"/>
    <x v="6"/>
    <n v="23"/>
    <x v="0"/>
    <s v="weekday"/>
    <x v="16"/>
    <x v="3"/>
  </r>
  <r>
    <n v="75"/>
    <n v="5"/>
    <n v="12"/>
    <n v="3"/>
    <x v="62"/>
    <n v="3"/>
    <x v="9"/>
    <x v="1"/>
    <x v="1"/>
    <n v="9"/>
    <n v="2026"/>
    <x v="4"/>
    <n v="23"/>
    <x v="4"/>
    <s v="weekday"/>
    <x v="17"/>
    <x v="6"/>
  </r>
  <r>
    <n v="76"/>
    <n v="12"/>
    <n v="8"/>
    <n v="9"/>
    <x v="63"/>
    <n v="4"/>
    <x v="2"/>
    <x v="1"/>
    <x v="0"/>
    <n v="9"/>
    <n v="2026"/>
    <x v="3"/>
    <n v="16"/>
    <x v="1"/>
    <s v="Weekend"/>
    <x v="7"/>
    <x v="2"/>
  </r>
  <r>
    <n v="77"/>
    <n v="1"/>
    <n v="9"/>
    <n v="1"/>
    <x v="64"/>
    <n v="4"/>
    <x v="2"/>
    <x v="1"/>
    <x v="0"/>
    <n v="9"/>
    <n v="2026"/>
    <x v="8"/>
    <n v="22"/>
    <x v="0"/>
    <s v="weekday"/>
    <x v="10"/>
    <x v="5"/>
  </r>
  <r>
    <n v="78"/>
    <n v="15"/>
    <n v="8"/>
    <n v="2"/>
    <x v="65"/>
    <n v="1"/>
    <x v="7"/>
    <x v="1"/>
    <x v="0"/>
    <n v="8"/>
    <n v="2026"/>
    <x v="9"/>
    <n v="15"/>
    <x v="0"/>
    <s v="weekday"/>
    <x v="7"/>
    <x v="9"/>
  </r>
  <r>
    <n v="79"/>
    <n v="6"/>
    <n v="4"/>
    <n v="8"/>
    <x v="66"/>
    <n v="2"/>
    <x v="3"/>
    <x v="1"/>
    <x v="0"/>
    <n v="9"/>
    <n v="2026"/>
    <x v="5"/>
    <n v="22"/>
    <x v="5"/>
    <s v="weekday"/>
    <x v="15"/>
    <x v="7"/>
  </r>
  <r>
    <n v="80"/>
    <n v="4"/>
    <n v="3"/>
    <n v="2"/>
    <x v="67"/>
    <n v="1"/>
    <x v="7"/>
    <x v="1"/>
    <x v="0"/>
    <n v="8"/>
    <n v="2026"/>
    <x v="1"/>
    <n v="19"/>
    <x v="6"/>
    <s v="weekday"/>
    <x v="0"/>
    <x v="9"/>
  </r>
  <r>
    <n v="81"/>
    <n v="13"/>
    <n v="15"/>
    <n v="4"/>
    <x v="68"/>
    <n v="5"/>
    <x v="11"/>
    <x v="1"/>
    <x v="1"/>
    <n v="8"/>
    <n v="2026"/>
    <x v="9"/>
    <n v="14"/>
    <x v="6"/>
    <s v="weekday"/>
    <x v="5"/>
    <x v="1"/>
  </r>
  <r>
    <n v="82"/>
    <n v="17"/>
    <n v="17"/>
    <n v="5"/>
    <x v="69"/>
    <n v="2"/>
    <x v="12"/>
    <x v="1"/>
    <x v="2"/>
    <n v="8"/>
    <n v="2026"/>
    <x v="0"/>
    <n v="20"/>
    <x v="0"/>
    <s v="weekday"/>
    <x v="16"/>
    <x v="8"/>
  </r>
  <r>
    <n v="83"/>
    <n v="18"/>
    <n v="10"/>
    <n v="8"/>
    <x v="70"/>
    <n v="4"/>
    <x v="2"/>
    <x v="1"/>
    <x v="1"/>
    <n v="9"/>
    <n v="2026"/>
    <x v="10"/>
    <n v="22"/>
    <x v="0"/>
    <s v="weekday"/>
    <x v="1"/>
    <x v="7"/>
  </r>
  <r>
    <n v="84"/>
    <n v="3"/>
    <n v="13"/>
    <n v="10"/>
    <x v="71"/>
    <n v="4"/>
    <x v="4"/>
    <x v="1"/>
    <x v="1"/>
    <n v="8"/>
    <n v="2026"/>
    <x v="0"/>
    <n v="15"/>
    <x v="5"/>
    <s v="weekday"/>
    <x v="11"/>
    <x v="3"/>
  </r>
  <r>
    <n v="85"/>
    <n v="1"/>
    <n v="7"/>
    <n v="7"/>
    <x v="72"/>
    <n v="5"/>
    <x v="6"/>
    <x v="0"/>
    <x v="2"/>
    <n v="9"/>
    <n v="2026"/>
    <x v="11"/>
    <n v="15"/>
    <x v="1"/>
    <s v="Weekend"/>
    <x v="3"/>
    <x v="4"/>
  </r>
  <r>
    <n v="86"/>
    <n v="8"/>
    <n v="4"/>
    <n v="8"/>
    <x v="73"/>
    <n v="5"/>
    <x v="11"/>
    <x v="1"/>
    <x v="0"/>
    <n v="8"/>
    <n v="2026"/>
    <x v="2"/>
    <n v="18"/>
    <x v="5"/>
    <s v="weekday"/>
    <x v="15"/>
    <x v="7"/>
  </r>
  <r>
    <n v="87"/>
    <n v="9"/>
    <n v="16"/>
    <n v="3"/>
    <x v="74"/>
    <n v="6"/>
    <x v="5"/>
    <x v="1"/>
    <x v="2"/>
    <n v="8"/>
    <n v="2026"/>
    <x v="10"/>
    <n v="17"/>
    <x v="4"/>
    <s v="weekday"/>
    <x v="12"/>
    <x v="6"/>
  </r>
  <r>
    <n v="88"/>
    <n v="14"/>
    <n v="20"/>
    <n v="8"/>
    <x v="75"/>
    <n v="3"/>
    <x v="10"/>
    <x v="1"/>
    <x v="2"/>
    <n v="10"/>
    <n v="2026"/>
    <x v="11"/>
    <n v="21"/>
    <x v="2"/>
    <s v="Weekend"/>
    <x v="4"/>
    <x v="7"/>
  </r>
  <r>
    <n v="89"/>
    <n v="16"/>
    <n v="19"/>
    <n v="9"/>
    <x v="76"/>
    <n v="3"/>
    <x v="10"/>
    <x v="1"/>
    <x v="2"/>
    <n v="10"/>
    <n v="2026"/>
    <x v="6"/>
    <n v="21"/>
    <x v="2"/>
    <s v="Weekend"/>
    <x v="18"/>
    <x v="2"/>
  </r>
  <r>
    <n v="90"/>
    <n v="17"/>
    <n v="11"/>
    <n v="7"/>
    <x v="77"/>
    <n v="6"/>
    <x v="0"/>
    <x v="1"/>
    <x v="1"/>
    <n v="9"/>
    <n v="2026"/>
    <x v="4"/>
    <n v="22"/>
    <x v="6"/>
    <s v="weekday"/>
    <x v="19"/>
    <x v="4"/>
  </r>
  <r>
    <n v="91"/>
    <n v="18"/>
    <n v="10"/>
    <n v="5"/>
    <x v="78"/>
    <n v="4"/>
    <x v="4"/>
    <x v="1"/>
    <x v="0"/>
    <n v="8"/>
    <n v="2026"/>
    <x v="6"/>
    <n v="19"/>
    <x v="6"/>
    <s v="weekday"/>
    <x v="1"/>
    <x v="8"/>
  </r>
  <r>
    <n v="92"/>
    <n v="11"/>
    <n v="2"/>
    <n v="9"/>
    <x v="79"/>
    <n v="1"/>
    <x v="1"/>
    <x v="1"/>
    <x v="0"/>
    <n v="9"/>
    <n v="2026"/>
    <x v="8"/>
    <n v="23"/>
    <x v="5"/>
    <s v="weekday"/>
    <x v="8"/>
    <x v="2"/>
  </r>
  <r>
    <n v="93"/>
    <n v="16"/>
    <n v="14"/>
    <n v="3"/>
    <x v="80"/>
    <n v="1"/>
    <x v="1"/>
    <x v="0"/>
    <x v="2"/>
    <n v="9"/>
    <n v="2026"/>
    <x v="8"/>
    <n v="21"/>
    <x v="6"/>
    <s v="weekday"/>
    <x v="2"/>
    <x v="6"/>
  </r>
  <r>
    <n v="94"/>
    <n v="5"/>
    <n v="9"/>
    <n v="3"/>
    <x v="81"/>
    <n v="3"/>
    <x v="9"/>
    <x v="1"/>
    <x v="1"/>
    <n v="9"/>
    <n v="2026"/>
    <x v="8"/>
    <n v="21"/>
    <x v="4"/>
    <s v="weekday"/>
    <x v="10"/>
    <x v="6"/>
  </r>
  <r>
    <n v="95"/>
    <n v="20"/>
    <n v="3"/>
    <n v="5"/>
    <x v="82"/>
    <n v="3"/>
    <x v="9"/>
    <x v="1"/>
    <x v="1"/>
    <n v="9"/>
    <n v="2026"/>
    <x v="8"/>
    <n v="21"/>
    <x v="0"/>
    <s v="weekday"/>
    <x v="0"/>
    <x v="8"/>
  </r>
  <r>
    <n v="96"/>
    <n v="9"/>
    <n v="12"/>
    <n v="7"/>
    <x v="83"/>
    <n v="4"/>
    <x v="4"/>
    <x v="1"/>
    <x v="2"/>
    <n v="8"/>
    <n v="2026"/>
    <x v="0"/>
    <n v="14"/>
    <x v="3"/>
    <s v="weekday"/>
    <x v="17"/>
    <x v="4"/>
  </r>
  <r>
    <n v="97"/>
    <n v="18"/>
    <n v="2"/>
    <n v="8"/>
    <x v="84"/>
    <n v="2"/>
    <x v="3"/>
    <x v="1"/>
    <x v="1"/>
    <n v="9"/>
    <n v="2026"/>
    <x v="4"/>
    <n v="23"/>
    <x v="4"/>
    <s v="weekday"/>
    <x v="8"/>
    <x v="7"/>
  </r>
  <r>
    <n v="98"/>
    <n v="19"/>
    <n v="1"/>
    <n v="9"/>
    <x v="85"/>
    <n v="4"/>
    <x v="4"/>
    <x v="1"/>
    <x v="0"/>
    <n v="8"/>
    <n v="2026"/>
    <x v="3"/>
    <n v="15"/>
    <x v="0"/>
    <s v="weekday"/>
    <x v="6"/>
    <x v="2"/>
  </r>
  <r>
    <n v="99"/>
    <n v="18"/>
    <n v="8"/>
    <n v="4"/>
    <x v="86"/>
    <n v="3"/>
    <x v="9"/>
    <x v="0"/>
    <x v="2"/>
    <n v="9"/>
    <n v="2026"/>
    <x v="11"/>
    <n v="23"/>
    <x v="0"/>
    <s v="weekday"/>
    <x v="7"/>
    <x v="1"/>
  </r>
  <r>
    <n v="100"/>
    <n v="5"/>
    <n v="20"/>
    <n v="2"/>
    <x v="87"/>
    <n v="4"/>
    <x v="2"/>
    <x v="0"/>
    <x v="1"/>
    <n v="9"/>
    <n v="2026"/>
    <x v="0"/>
    <n v="21"/>
    <x v="6"/>
    <s v="weekday"/>
    <x v="4"/>
    <x v="9"/>
  </r>
  <r>
    <n v="101"/>
    <n v="7"/>
    <n v="20"/>
    <n v="5"/>
    <x v="88"/>
    <n v="4"/>
    <x v="2"/>
    <x v="1"/>
    <x v="2"/>
    <n v="9"/>
    <n v="2026"/>
    <x v="11"/>
    <n v="17"/>
    <x v="2"/>
    <s v="Weekend"/>
    <x v="4"/>
    <x v="8"/>
  </r>
  <r>
    <n v="102"/>
    <n v="5"/>
    <n v="12"/>
    <n v="5"/>
    <x v="89"/>
    <n v="6"/>
    <x v="5"/>
    <x v="1"/>
    <x v="2"/>
    <n v="8"/>
    <n v="2026"/>
    <x v="3"/>
    <n v="19"/>
    <x v="4"/>
    <s v="weekday"/>
    <x v="17"/>
    <x v="8"/>
  </r>
  <r>
    <n v="103"/>
    <n v="11"/>
    <n v="16"/>
    <n v="5"/>
    <x v="90"/>
    <n v="3"/>
    <x v="9"/>
    <x v="1"/>
    <x v="0"/>
    <n v="9"/>
    <n v="2026"/>
    <x v="7"/>
    <n v="15"/>
    <x v="1"/>
    <s v="Weekend"/>
    <x v="12"/>
    <x v="8"/>
  </r>
  <r>
    <n v="104"/>
    <n v="1"/>
    <n v="13"/>
    <n v="8"/>
    <x v="91"/>
    <n v="6"/>
    <x v="14"/>
    <x v="1"/>
    <x v="0"/>
    <n v="10"/>
    <n v="2026"/>
    <x v="5"/>
    <n v="23"/>
    <x v="1"/>
    <s v="Weekend"/>
    <x v="11"/>
    <x v="7"/>
  </r>
  <r>
    <n v="105"/>
    <n v="19"/>
    <n v="6"/>
    <n v="2"/>
    <x v="92"/>
    <n v="4"/>
    <x v="4"/>
    <x v="1"/>
    <x v="0"/>
    <n v="8"/>
    <n v="2026"/>
    <x v="11"/>
    <n v="20"/>
    <x v="0"/>
    <s v="weekday"/>
    <x v="13"/>
    <x v="9"/>
  </r>
  <r>
    <n v="106"/>
    <n v="11"/>
    <n v="8"/>
    <n v="6"/>
    <x v="93"/>
    <n v="5"/>
    <x v="6"/>
    <x v="1"/>
    <x v="1"/>
    <n v="9"/>
    <n v="2026"/>
    <x v="0"/>
    <n v="23"/>
    <x v="3"/>
    <s v="weekday"/>
    <x v="7"/>
    <x v="0"/>
  </r>
  <r>
    <n v="107"/>
    <n v="15"/>
    <n v="13"/>
    <n v="4"/>
    <x v="94"/>
    <n v="6"/>
    <x v="0"/>
    <x v="1"/>
    <x v="0"/>
    <n v="9"/>
    <n v="2026"/>
    <x v="0"/>
    <n v="21"/>
    <x v="4"/>
    <s v="weekday"/>
    <x v="11"/>
    <x v="1"/>
  </r>
  <r>
    <n v="108"/>
    <n v="18"/>
    <n v="19"/>
    <n v="9"/>
    <x v="95"/>
    <n v="3"/>
    <x v="9"/>
    <x v="1"/>
    <x v="0"/>
    <n v="9"/>
    <n v="2026"/>
    <x v="1"/>
    <n v="19"/>
    <x v="1"/>
    <s v="Weekend"/>
    <x v="18"/>
    <x v="2"/>
  </r>
  <r>
    <n v="109"/>
    <n v="18"/>
    <n v="5"/>
    <n v="7"/>
    <x v="96"/>
    <n v="3"/>
    <x v="8"/>
    <x v="1"/>
    <x v="0"/>
    <n v="8"/>
    <n v="2026"/>
    <x v="9"/>
    <n v="15"/>
    <x v="6"/>
    <s v="weekday"/>
    <x v="14"/>
    <x v="4"/>
  </r>
  <r>
    <n v="110"/>
    <n v="20"/>
    <n v="18"/>
    <n v="5"/>
    <x v="97"/>
    <n v="6"/>
    <x v="0"/>
    <x v="1"/>
    <x v="0"/>
    <n v="9"/>
    <n v="2026"/>
    <x v="3"/>
    <n v="15"/>
    <x v="2"/>
    <s v="Weekend"/>
    <x v="9"/>
    <x v="8"/>
  </r>
  <r>
    <n v="111"/>
    <n v="20"/>
    <n v="12"/>
    <n v="8"/>
    <x v="98"/>
    <n v="4"/>
    <x v="2"/>
    <x v="0"/>
    <x v="1"/>
    <n v="9"/>
    <n v="2026"/>
    <x v="5"/>
    <n v="19"/>
    <x v="2"/>
    <s v="Weekend"/>
    <x v="17"/>
    <x v="7"/>
  </r>
  <r>
    <n v="112"/>
    <n v="4"/>
    <n v="6"/>
    <n v="10"/>
    <x v="99"/>
    <n v="3"/>
    <x v="8"/>
    <x v="1"/>
    <x v="1"/>
    <n v="8"/>
    <n v="2026"/>
    <x v="7"/>
    <n v="18"/>
    <x v="4"/>
    <s v="weekday"/>
    <x v="13"/>
    <x v="3"/>
  </r>
  <r>
    <n v="113"/>
    <n v="4"/>
    <n v="20"/>
    <n v="9"/>
    <x v="100"/>
    <n v="5"/>
    <x v="11"/>
    <x v="1"/>
    <x v="0"/>
    <n v="8"/>
    <n v="2026"/>
    <x v="11"/>
    <n v="20"/>
    <x v="0"/>
    <s v="weekday"/>
    <x v="4"/>
    <x v="2"/>
  </r>
  <r>
    <n v="114"/>
    <n v="7"/>
    <n v="10"/>
    <n v="1"/>
    <x v="101"/>
    <n v="6"/>
    <x v="5"/>
    <x v="1"/>
    <x v="2"/>
    <n v="8"/>
    <n v="2026"/>
    <x v="4"/>
    <n v="16"/>
    <x v="5"/>
    <s v="weekday"/>
    <x v="1"/>
    <x v="5"/>
  </r>
  <r>
    <n v="115"/>
    <n v="2"/>
    <n v="4"/>
    <n v="5"/>
    <x v="102"/>
    <n v="1"/>
    <x v="7"/>
    <x v="1"/>
    <x v="0"/>
    <n v="8"/>
    <n v="2026"/>
    <x v="5"/>
    <n v="17"/>
    <x v="4"/>
    <s v="weekday"/>
    <x v="15"/>
    <x v="8"/>
  </r>
  <r>
    <n v="116"/>
    <n v="19"/>
    <n v="2"/>
    <n v="4"/>
    <x v="103"/>
    <n v="5"/>
    <x v="11"/>
    <x v="1"/>
    <x v="2"/>
    <n v="8"/>
    <n v="2026"/>
    <x v="7"/>
    <n v="18"/>
    <x v="0"/>
    <s v="weekday"/>
    <x v="8"/>
    <x v="1"/>
  </r>
  <r>
    <n v="117"/>
    <n v="19"/>
    <n v="12"/>
    <n v="5"/>
    <x v="104"/>
    <n v="2"/>
    <x v="3"/>
    <x v="1"/>
    <x v="2"/>
    <n v="9"/>
    <n v="2026"/>
    <x v="8"/>
    <n v="22"/>
    <x v="3"/>
    <s v="weekday"/>
    <x v="17"/>
    <x v="8"/>
  </r>
  <r>
    <n v="118"/>
    <n v="4"/>
    <n v="2"/>
    <n v="9"/>
    <x v="105"/>
    <n v="6"/>
    <x v="0"/>
    <x v="1"/>
    <x v="2"/>
    <n v="9"/>
    <n v="2026"/>
    <x v="3"/>
    <n v="23"/>
    <x v="4"/>
    <s v="weekday"/>
    <x v="8"/>
    <x v="2"/>
  </r>
  <r>
    <n v="119"/>
    <n v="12"/>
    <n v="2"/>
    <n v="4"/>
    <x v="106"/>
    <n v="3"/>
    <x v="9"/>
    <x v="1"/>
    <x v="0"/>
    <n v="9"/>
    <n v="2026"/>
    <x v="10"/>
    <n v="18"/>
    <x v="2"/>
    <s v="Weekend"/>
    <x v="8"/>
    <x v="1"/>
  </r>
  <r>
    <n v="120"/>
    <n v="4"/>
    <n v="20"/>
    <n v="9"/>
    <x v="107"/>
    <n v="4"/>
    <x v="2"/>
    <x v="1"/>
    <x v="2"/>
    <n v="9"/>
    <n v="2026"/>
    <x v="10"/>
    <n v="21"/>
    <x v="0"/>
    <s v="weekday"/>
    <x v="4"/>
    <x v="2"/>
  </r>
  <r>
    <n v="121"/>
    <n v="6"/>
    <n v="4"/>
    <n v="10"/>
    <x v="108"/>
    <n v="1"/>
    <x v="1"/>
    <x v="1"/>
    <x v="1"/>
    <n v="9"/>
    <n v="2026"/>
    <x v="11"/>
    <n v="14"/>
    <x v="2"/>
    <s v="Weekend"/>
    <x v="15"/>
    <x v="3"/>
  </r>
  <r>
    <n v="122"/>
    <n v="12"/>
    <n v="16"/>
    <n v="6"/>
    <x v="109"/>
    <n v="1"/>
    <x v="7"/>
    <x v="1"/>
    <x v="1"/>
    <n v="8"/>
    <n v="2026"/>
    <x v="3"/>
    <n v="17"/>
    <x v="4"/>
    <s v="weekday"/>
    <x v="12"/>
    <x v="0"/>
  </r>
  <r>
    <n v="123"/>
    <n v="15"/>
    <n v="15"/>
    <n v="7"/>
    <x v="110"/>
    <n v="1"/>
    <x v="1"/>
    <x v="1"/>
    <x v="2"/>
    <n v="9"/>
    <n v="2026"/>
    <x v="5"/>
    <n v="16"/>
    <x v="1"/>
    <s v="Weekend"/>
    <x v="5"/>
    <x v="4"/>
  </r>
  <r>
    <n v="124"/>
    <n v="5"/>
    <n v="12"/>
    <n v="1"/>
    <x v="111"/>
    <n v="4"/>
    <x v="4"/>
    <x v="1"/>
    <x v="0"/>
    <n v="8"/>
    <n v="2026"/>
    <x v="2"/>
    <n v="17"/>
    <x v="5"/>
    <s v="weekday"/>
    <x v="17"/>
    <x v="5"/>
  </r>
  <r>
    <n v="125"/>
    <n v="7"/>
    <n v="3"/>
    <n v="2"/>
    <x v="112"/>
    <n v="4"/>
    <x v="2"/>
    <x v="1"/>
    <x v="0"/>
    <n v="9"/>
    <n v="2026"/>
    <x v="7"/>
    <n v="22"/>
    <x v="3"/>
    <s v="weekday"/>
    <x v="0"/>
    <x v="9"/>
  </r>
  <r>
    <n v="126"/>
    <n v="11"/>
    <n v="9"/>
    <n v="8"/>
    <x v="113"/>
    <n v="2"/>
    <x v="12"/>
    <x v="1"/>
    <x v="0"/>
    <n v="8"/>
    <n v="2026"/>
    <x v="6"/>
    <n v="15"/>
    <x v="5"/>
    <s v="weekday"/>
    <x v="10"/>
    <x v="7"/>
  </r>
  <r>
    <n v="127"/>
    <n v="9"/>
    <n v="3"/>
    <n v="3"/>
    <x v="114"/>
    <n v="1"/>
    <x v="1"/>
    <x v="1"/>
    <x v="1"/>
    <n v="9"/>
    <n v="2026"/>
    <x v="3"/>
    <n v="21"/>
    <x v="0"/>
    <s v="weekday"/>
    <x v="0"/>
    <x v="6"/>
  </r>
  <r>
    <n v="128"/>
    <n v="12"/>
    <n v="11"/>
    <n v="2"/>
    <x v="115"/>
    <n v="1"/>
    <x v="7"/>
    <x v="0"/>
    <x v="2"/>
    <n v="8"/>
    <n v="2026"/>
    <x v="2"/>
    <n v="14"/>
    <x v="3"/>
    <s v="weekday"/>
    <x v="19"/>
    <x v="9"/>
  </r>
  <r>
    <n v="129"/>
    <n v="20"/>
    <n v="2"/>
    <n v="1"/>
    <x v="116"/>
    <n v="2"/>
    <x v="3"/>
    <x v="1"/>
    <x v="1"/>
    <n v="9"/>
    <n v="2026"/>
    <x v="1"/>
    <n v="17"/>
    <x v="2"/>
    <s v="Weekend"/>
    <x v="8"/>
    <x v="5"/>
  </r>
  <r>
    <n v="130"/>
    <n v="10"/>
    <n v="9"/>
    <n v="9"/>
    <x v="117"/>
    <n v="5"/>
    <x v="11"/>
    <x v="1"/>
    <x v="0"/>
    <n v="8"/>
    <n v="2026"/>
    <x v="8"/>
    <n v="19"/>
    <x v="5"/>
    <s v="weekday"/>
    <x v="10"/>
    <x v="2"/>
  </r>
  <r>
    <n v="131"/>
    <n v="5"/>
    <n v="7"/>
    <n v="5"/>
    <x v="118"/>
    <n v="5"/>
    <x v="11"/>
    <x v="1"/>
    <x v="0"/>
    <n v="8"/>
    <n v="2026"/>
    <x v="7"/>
    <n v="20"/>
    <x v="5"/>
    <s v="weekday"/>
    <x v="3"/>
    <x v="8"/>
  </r>
  <r>
    <n v="132"/>
    <n v="3"/>
    <n v="10"/>
    <n v="5"/>
    <x v="119"/>
    <n v="2"/>
    <x v="3"/>
    <x v="1"/>
    <x v="1"/>
    <n v="9"/>
    <n v="2026"/>
    <x v="11"/>
    <n v="21"/>
    <x v="0"/>
    <s v="weekday"/>
    <x v="1"/>
    <x v="8"/>
  </r>
  <r>
    <n v="133"/>
    <n v="12"/>
    <n v="10"/>
    <n v="6"/>
    <x v="120"/>
    <n v="6"/>
    <x v="5"/>
    <x v="1"/>
    <x v="2"/>
    <n v="8"/>
    <n v="2026"/>
    <x v="10"/>
    <n v="16"/>
    <x v="0"/>
    <s v="weekday"/>
    <x v="1"/>
    <x v="0"/>
  </r>
  <r>
    <n v="134"/>
    <n v="13"/>
    <n v="9"/>
    <n v="7"/>
    <x v="121"/>
    <n v="3"/>
    <x v="8"/>
    <x v="1"/>
    <x v="1"/>
    <n v="8"/>
    <n v="2026"/>
    <x v="2"/>
    <n v="14"/>
    <x v="5"/>
    <s v="weekday"/>
    <x v="10"/>
    <x v="4"/>
  </r>
  <r>
    <n v="135"/>
    <n v="2"/>
    <n v="20"/>
    <n v="7"/>
    <x v="122"/>
    <n v="5"/>
    <x v="6"/>
    <x v="1"/>
    <x v="1"/>
    <n v="9"/>
    <n v="2026"/>
    <x v="11"/>
    <n v="23"/>
    <x v="6"/>
    <s v="weekday"/>
    <x v="4"/>
    <x v="4"/>
  </r>
  <r>
    <n v="136"/>
    <n v="5"/>
    <n v="18"/>
    <n v="9"/>
    <x v="123"/>
    <n v="3"/>
    <x v="8"/>
    <x v="1"/>
    <x v="2"/>
    <n v="8"/>
    <n v="2026"/>
    <x v="3"/>
    <n v="14"/>
    <x v="5"/>
    <s v="weekday"/>
    <x v="9"/>
    <x v="2"/>
  </r>
  <r>
    <n v="137"/>
    <n v="7"/>
    <n v="2"/>
    <n v="5"/>
    <x v="124"/>
    <n v="3"/>
    <x v="8"/>
    <x v="0"/>
    <x v="2"/>
    <n v="8"/>
    <n v="2026"/>
    <x v="5"/>
    <n v="17"/>
    <x v="4"/>
    <s v="weekday"/>
    <x v="8"/>
    <x v="8"/>
  </r>
  <r>
    <n v="138"/>
    <n v="7"/>
    <n v="1"/>
    <n v="2"/>
    <x v="125"/>
    <n v="6"/>
    <x v="0"/>
    <x v="1"/>
    <x v="1"/>
    <n v="9"/>
    <n v="2026"/>
    <x v="6"/>
    <n v="21"/>
    <x v="4"/>
    <s v="weekday"/>
    <x v="6"/>
    <x v="9"/>
  </r>
  <r>
    <n v="139"/>
    <n v="13"/>
    <n v="9"/>
    <n v="9"/>
    <x v="126"/>
    <n v="3"/>
    <x v="8"/>
    <x v="1"/>
    <x v="2"/>
    <n v="8"/>
    <n v="2026"/>
    <x v="9"/>
    <n v="19"/>
    <x v="0"/>
    <s v="weekday"/>
    <x v="10"/>
    <x v="2"/>
  </r>
  <r>
    <n v="140"/>
    <n v="12"/>
    <n v="3"/>
    <n v="10"/>
    <x v="127"/>
    <n v="5"/>
    <x v="6"/>
    <x v="1"/>
    <x v="0"/>
    <n v="9"/>
    <n v="2026"/>
    <x v="11"/>
    <n v="17"/>
    <x v="1"/>
    <s v="Weekend"/>
    <x v="0"/>
    <x v="3"/>
  </r>
  <r>
    <n v="141"/>
    <n v="16"/>
    <n v="18"/>
    <n v="1"/>
    <x v="128"/>
    <n v="4"/>
    <x v="2"/>
    <x v="1"/>
    <x v="2"/>
    <n v="9"/>
    <n v="2026"/>
    <x v="6"/>
    <n v="14"/>
    <x v="2"/>
    <s v="Weekend"/>
    <x v="9"/>
    <x v="5"/>
  </r>
  <r>
    <n v="142"/>
    <n v="20"/>
    <n v="4"/>
    <n v="1"/>
    <x v="129"/>
    <n v="6"/>
    <x v="0"/>
    <x v="1"/>
    <x v="2"/>
    <n v="9"/>
    <n v="2026"/>
    <x v="11"/>
    <n v="21"/>
    <x v="4"/>
    <s v="weekday"/>
    <x v="15"/>
    <x v="5"/>
  </r>
  <r>
    <n v="143"/>
    <n v="9"/>
    <n v="17"/>
    <n v="6"/>
    <x v="130"/>
    <n v="3"/>
    <x v="8"/>
    <x v="1"/>
    <x v="0"/>
    <n v="8"/>
    <n v="2026"/>
    <x v="4"/>
    <n v="19"/>
    <x v="5"/>
    <s v="weekday"/>
    <x v="16"/>
    <x v="0"/>
  </r>
  <r>
    <n v="144"/>
    <n v="7"/>
    <n v="3"/>
    <n v="9"/>
    <x v="131"/>
    <n v="2"/>
    <x v="12"/>
    <x v="1"/>
    <x v="1"/>
    <n v="8"/>
    <n v="2026"/>
    <x v="11"/>
    <n v="18"/>
    <x v="4"/>
    <s v="weekday"/>
    <x v="0"/>
    <x v="2"/>
  </r>
  <r>
    <n v="145"/>
    <n v="11"/>
    <n v="17"/>
    <n v="10"/>
    <x v="132"/>
    <n v="4"/>
    <x v="2"/>
    <x v="0"/>
    <x v="0"/>
    <n v="9"/>
    <n v="2026"/>
    <x v="4"/>
    <n v="22"/>
    <x v="5"/>
    <s v="weekday"/>
    <x v="16"/>
    <x v="3"/>
  </r>
  <r>
    <n v="146"/>
    <n v="14"/>
    <n v="9"/>
    <n v="7"/>
    <x v="133"/>
    <n v="4"/>
    <x v="2"/>
    <x v="1"/>
    <x v="1"/>
    <n v="9"/>
    <n v="2026"/>
    <x v="5"/>
    <n v="16"/>
    <x v="1"/>
    <s v="Weekend"/>
    <x v="10"/>
    <x v="4"/>
  </r>
  <r>
    <n v="147"/>
    <n v="17"/>
    <n v="11"/>
    <n v="10"/>
    <x v="134"/>
    <n v="5"/>
    <x v="11"/>
    <x v="1"/>
    <x v="2"/>
    <n v="8"/>
    <n v="2026"/>
    <x v="1"/>
    <n v="18"/>
    <x v="6"/>
    <s v="weekday"/>
    <x v="19"/>
    <x v="3"/>
  </r>
  <r>
    <n v="148"/>
    <n v="7"/>
    <n v="1"/>
    <n v="3"/>
    <x v="135"/>
    <n v="2"/>
    <x v="12"/>
    <x v="1"/>
    <x v="0"/>
    <n v="8"/>
    <n v="2026"/>
    <x v="6"/>
    <n v="14"/>
    <x v="6"/>
    <s v="weekday"/>
    <x v="6"/>
    <x v="6"/>
  </r>
  <r>
    <n v="149"/>
    <n v="1"/>
    <n v="3"/>
    <n v="1"/>
    <x v="136"/>
    <n v="2"/>
    <x v="3"/>
    <x v="1"/>
    <x v="0"/>
    <n v="9"/>
    <n v="2026"/>
    <x v="4"/>
    <n v="19"/>
    <x v="2"/>
    <s v="Weekend"/>
    <x v="0"/>
    <x v="5"/>
  </r>
  <r>
    <n v="150"/>
    <n v="18"/>
    <n v="15"/>
    <n v="5"/>
    <x v="137"/>
    <n v="4"/>
    <x v="2"/>
    <x v="1"/>
    <x v="2"/>
    <n v="9"/>
    <n v="2026"/>
    <x v="11"/>
    <n v="22"/>
    <x v="3"/>
    <s v="weekday"/>
    <x v="5"/>
    <x v="8"/>
  </r>
  <r>
    <n v="151"/>
    <n v="13"/>
    <n v="18"/>
    <n v="5"/>
    <x v="138"/>
    <n v="5"/>
    <x v="11"/>
    <x v="1"/>
    <x v="1"/>
    <n v="8"/>
    <n v="2026"/>
    <x v="3"/>
    <n v="15"/>
    <x v="4"/>
    <s v="weekday"/>
    <x v="9"/>
    <x v="8"/>
  </r>
  <r>
    <n v="152"/>
    <n v="18"/>
    <n v="19"/>
    <n v="4"/>
    <x v="67"/>
    <n v="5"/>
    <x v="11"/>
    <x v="1"/>
    <x v="0"/>
    <n v="8"/>
    <n v="2026"/>
    <x v="1"/>
    <n v="19"/>
    <x v="6"/>
    <s v="weekday"/>
    <x v="18"/>
    <x v="1"/>
  </r>
  <r>
    <n v="153"/>
    <n v="19"/>
    <n v="20"/>
    <n v="3"/>
    <x v="139"/>
    <n v="1"/>
    <x v="1"/>
    <x v="1"/>
    <x v="0"/>
    <n v="9"/>
    <n v="2026"/>
    <x v="10"/>
    <n v="20"/>
    <x v="2"/>
    <s v="Weekend"/>
    <x v="4"/>
    <x v="6"/>
  </r>
  <r>
    <n v="154"/>
    <n v="16"/>
    <n v="6"/>
    <n v="4"/>
    <x v="140"/>
    <n v="2"/>
    <x v="12"/>
    <x v="1"/>
    <x v="1"/>
    <n v="8"/>
    <n v="2026"/>
    <x v="8"/>
    <n v="18"/>
    <x v="4"/>
    <s v="weekday"/>
    <x v="13"/>
    <x v="1"/>
  </r>
  <r>
    <n v="155"/>
    <n v="3"/>
    <n v="20"/>
    <n v="3"/>
    <x v="25"/>
    <n v="6"/>
    <x v="0"/>
    <x v="1"/>
    <x v="0"/>
    <n v="9"/>
    <n v="2026"/>
    <x v="0"/>
    <n v="15"/>
    <x v="1"/>
    <s v="Weekend"/>
    <x v="4"/>
    <x v="6"/>
  </r>
  <r>
    <n v="156"/>
    <n v="2"/>
    <n v="16"/>
    <n v="2"/>
    <x v="141"/>
    <n v="2"/>
    <x v="12"/>
    <x v="1"/>
    <x v="2"/>
    <n v="8"/>
    <n v="2026"/>
    <x v="6"/>
    <n v="20"/>
    <x v="5"/>
    <s v="weekday"/>
    <x v="12"/>
    <x v="9"/>
  </r>
  <r>
    <n v="157"/>
    <n v="18"/>
    <n v="20"/>
    <n v="10"/>
    <x v="60"/>
    <n v="4"/>
    <x v="4"/>
    <x v="1"/>
    <x v="2"/>
    <n v="8"/>
    <n v="2026"/>
    <x v="1"/>
    <n v="18"/>
    <x v="6"/>
    <s v="weekday"/>
    <x v="4"/>
    <x v="3"/>
  </r>
  <r>
    <n v="158"/>
    <n v="10"/>
    <n v="17"/>
    <n v="2"/>
    <x v="142"/>
    <n v="3"/>
    <x v="9"/>
    <x v="1"/>
    <x v="1"/>
    <n v="9"/>
    <n v="2026"/>
    <x v="10"/>
    <n v="22"/>
    <x v="5"/>
    <s v="weekday"/>
    <x v="16"/>
    <x v="9"/>
  </r>
  <r>
    <n v="159"/>
    <n v="16"/>
    <n v="11"/>
    <n v="8"/>
    <x v="143"/>
    <n v="2"/>
    <x v="3"/>
    <x v="1"/>
    <x v="0"/>
    <n v="9"/>
    <n v="2026"/>
    <x v="8"/>
    <n v="16"/>
    <x v="1"/>
    <s v="Weekend"/>
    <x v="19"/>
    <x v="7"/>
  </r>
  <r>
    <n v="160"/>
    <n v="10"/>
    <n v="10"/>
    <n v="10"/>
    <x v="144"/>
    <n v="5"/>
    <x v="11"/>
    <x v="1"/>
    <x v="0"/>
    <n v="8"/>
    <n v="2026"/>
    <x v="2"/>
    <n v="16"/>
    <x v="5"/>
    <s v="weekday"/>
    <x v="1"/>
    <x v="3"/>
  </r>
  <r>
    <n v="161"/>
    <n v="5"/>
    <n v="7"/>
    <n v="6"/>
    <x v="145"/>
    <n v="1"/>
    <x v="7"/>
    <x v="1"/>
    <x v="1"/>
    <n v="8"/>
    <n v="2026"/>
    <x v="3"/>
    <n v="20"/>
    <x v="3"/>
    <s v="weekday"/>
    <x v="3"/>
    <x v="0"/>
  </r>
  <r>
    <n v="162"/>
    <n v="20"/>
    <n v="10"/>
    <n v="3"/>
    <x v="146"/>
    <n v="4"/>
    <x v="11"/>
    <x v="1"/>
    <x v="0"/>
    <n v="10"/>
    <n v="2026"/>
    <x v="1"/>
    <n v="22"/>
    <x v="1"/>
    <s v="Weekend"/>
    <x v="1"/>
    <x v="6"/>
  </r>
  <r>
    <n v="163"/>
    <n v="12"/>
    <n v="13"/>
    <n v="8"/>
    <x v="147"/>
    <n v="1"/>
    <x v="7"/>
    <x v="1"/>
    <x v="2"/>
    <n v="8"/>
    <n v="2026"/>
    <x v="10"/>
    <n v="17"/>
    <x v="4"/>
    <s v="weekday"/>
    <x v="11"/>
    <x v="7"/>
  </r>
  <r>
    <n v="164"/>
    <n v="11"/>
    <n v="6"/>
    <n v="5"/>
    <x v="148"/>
    <n v="3"/>
    <x v="8"/>
    <x v="1"/>
    <x v="2"/>
    <n v="8"/>
    <n v="2026"/>
    <x v="2"/>
    <n v="18"/>
    <x v="6"/>
    <s v="weekday"/>
    <x v="13"/>
    <x v="8"/>
  </r>
  <r>
    <n v="165"/>
    <n v="17"/>
    <n v="8"/>
    <n v="7"/>
    <x v="149"/>
    <n v="5"/>
    <x v="11"/>
    <x v="1"/>
    <x v="2"/>
    <n v="8"/>
    <n v="2026"/>
    <x v="3"/>
    <n v="17"/>
    <x v="4"/>
    <s v="weekday"/>
    <x v="7"/>
    <x v="4"/>
  </r>
  <r>
    <n v="166"/>
    <n v="9"/>
    <n v="2"/>
    <n v="2"/>
    <x v="150"/>
    <n v="4"/>
    <x v="11"/>
    <x v="1"/>
    <x v="1"/>
    <n v="10"/>
    <n v="2026"/>
    <x v="1"/>
    <n v="23"/>
    <x v="1"/>
    <s v="Weekend"/>
    <x v="8"/>
    <x v="9"/>
  </r>
  <r>
    <n v="167"/>
    <n v="18"/>
    <n v="9"/>
    <n v="10"/>
    <x v="151"/>
    <n v="2"/>
    <x v="13"/>
    <x v="1"/>
    <x v="0"/>
    <n v="10"/>
    <n v="2026"/>
    <x v="5"/>
    <n v="23"/>
    <x v="1"/>
    <s v="Weekend"/>
    <x v="10"/>
    <x v="3"/>
  </r>
  <r>
    <n v="168"/>
    <n v="16"/>
    <n v="5"/>
    <n v="6"/>
    <x v="152"/>
    <n v="3"/>
    <x v="8"/>
    <x v="1"/>
    <x v="0"/>
    <n v="8"/>
    <n v="2026"/>
    <x v="11"/>
    <n v="18"/>
    <x v="6"/>
    <s v="weekday"/>
    <x v="14"/>
    <x v="0"/>
  </r>
  <r>
    <n v="169"/>
    <n v="17"/>
    <n v="4"/>
    <n v="5"/>
    <x v="153"/>
    <n v="5"/>
    <x v="6"/>
    <x v="1"/>
    <x v="1"/>
    <n v="9"/>
    <n v="2026"/>
    <x v="5"/>
    <n v="18"/>
    <x v="1"/>
    <s v="Weekend"/>
    <x v="15"/>
    <x v="8"/>
  </r>
  <r>
    <n v="170"/>
    <n v="19"/>
    <n v="3"/>
    <n v="5"/>
    <x v="154"/>
    <n v="6"/>
    <x v="14"/>
    <x v="0"/>
    <x v="1"/>
    <n v="10"/>
    <n v="2026"/>
    <x v="4"/>
    <n v="22"/>
    <x v="1"/>
    <s v="Weekend"/>
    <x v="0"/>
    <x v="8"/>
  </r>
  <r>
    <n v="171"/>
    <n v="18"/>
    <n v="6"/>
    <n v="10"/>
    <x v="155"/>
    <n v="2"/>
    <x v="12"/>
    <x v="1"/>
    <x v="2"/>
    <n v="8"/>
    <n v="2026"/>
    <x v="0"/>
    <n v="14"/>
    <x v="5"/>
    <s v="weekday"/>
    <x v="13"/>
    <x v="3"/>
  </r>
  <r>
    <n v="172"/>
    <n v="9"/>
    <n v="5"/>
    <n v="6"/>
    <x v="156"/>
    <n v="6"/>
    <x v="0"/>
    <x v="1"/>
    <x v="0"/>
    <n v="9"/>
    <n v="2026"/>
    <x v="6"/>
    <n v="16"/>
    <x v="2"/>
    <s v="Weekend"/>
    <x v="14"/>
    <x v="0"/>
  </r>
  <r>
    <n v="173"/>
    <n v="2"/>
    <n v="9"/>
    <n v="8"/>
    <x v="157"/>
    <n v="1"/>
    <x v="1"/>
    <x v="1"/>
    <x v="2"/>
    <n v="9"/>
    <n v="2026"/>
    <x v="8"/>
    <n v="22"/>
    <x v="5"/>
    <s v="weekday"/>
    <x v="10"/>
    <x v="7"/>
  </r>
  <r>
    <n v="174"/>
    <n v="3"/>
    <n v="16"/>
    <n v="4"/>
    <x v="158"/>
    <n v="6"/>
    <x v="5"/>
    <x v="1"/>
    <x v="0"/>
    <n v="8"/>
    <n v="2026"/>
    <x v="6"/>
    <n v="19"/>
    <x v="0"/>
    <s v="weekday"/>
    <x v="12"/>
    <x v="1"/>
  </r>
  <r>
    <n v="175"/>
    <n v="3"/>
    <n v="20"/>
    <n v="8"/>
    <x v="159"/>
    <n v="6"/>
    <x v="0"/>
    <x v="1"/>
    <x v="0"/>
    <n v="9"/>
    <n v="2026"/>
    <x v="1"/>
    <n v="19"/>
    <x v="1"/>
    <s v="Weekend"/>
    <x v="4"/>
    <x v="7"/>
  </r>
  <r>
    <n v="176"/>
    <n v="3"/>
    <n v="16"/>
    <n v="8"/>
    <x v="160"/>
    <n v="3"/>
    <x v="9"/>
    <x v="1"/>
    <x v="1"/>
    <n v="9"/>
    <n v="2026"/>
    <x v="6"/>
    <n v="20"/>
    <x v="2"/>
    <s v="Weekend"/>
    <x v="12"/>
    <x v="7"/>
  </r>
  <r>
    <n v="177"/>
    <n v="20"/>
    <n v="18"/>
    <n v="1"/>
    <x v="161"/>
    <n v="6"/>
    <x v="5"/>
    <x v="1"/>
    <x v="2"/>
    <n v="8"/>
    <n v="2026"/>
    <x v="10"/>
    <n v="15"/>
    <x v="0"/>
    <s v="weekday"/>
    <x v="9"/>
    <x v="5"/>
  </r>
  <r>
    <n v="178"/>
    <n v="20"/>
    <n v="5"/>
    <n v="9"/>
    <x v="162"/>
    <n v="4"/>
    <x v="4"/>
    <x v="1"/>
    <x v="2"/>
    <n v="8"/>
    <n v="2026"/>
    <x v="8"/>
    <n v="20"/>
    <x v="0"/>
    <s v="weekday"/>
    <x v="14"/>
    <x v="2"/>
  </r>
  <r>
    <n v="179"/>
    <n v="12"/>
    <n v="14"/>
    <n v="1"/>
    <x v="163"/>
    <n v="4"/>
    <x v="2"/>
    <x v="1"/>
    <x v="0"/>
    <n v="9"/>
    <n v="2026"/>
    <x v="5"/>
    <n v="23"/>
    <x v="3"/>
    <s v="weekday"/>
    <x v="2"/>
    <x v="5"/>
  </r>
  <r>
    <n v="180"/>
    <n v="9"/>
    <n v="18"/>
    <n v="3"/>
    <x v="164"/>
    <n v="3"/>
    <x v="9"/>
    <x v="1"/>
    <x v="0"/>
    <n v="9"/>
    <n v="2026"/>
    <x v="3"/>
    <n v="23"/>
    <x v="3"/>
    <s v="weekday"/>
    <x v="9"/>
    <x v="6"/>
  </r>
  <r>
    <n v="181"/>
    <n v="4"/>
    <n v="11"/>
    <n v="2"/>
    <x v="165"/>
    <n v="6"/>
    <x v="14"/>
    <x v="0"/>
    <x v="1"/>
    <n v="10"/>
    <n v="2026"/>
    <x v="4"/>
    <n v="21"/>
    <x v="2"/>
    <s v="Weekend"/>
    <x v="19"/>
    <x v="9"/>
  </r>
  <r>
    <n v="182"/>
    <n v="9"/>
    <n v="1"/>
    <n v="1"/>
    <x v="166"/>
    <n v="1"/>
    <x v="7"/>
    <x v="1"/>
    <x v="0"/>
    <n v="8"/>
    <n v="2026"/>
    <x v="2"/>
    <n v="18"/>
    <x v="0"/>
    <s v="weekday"/>
    <x v="6"/>
    <x v="5"/>
  </r>
  <r>
    <n v="183"/>
    <n v="13"/>
    <n v="6"/>
    <n v="2"/>
    <x v="167"/>
    <n v="4"/>
    <x v="4"/>
    <x v="1"/>
    <x v="1"/>
    <n v="8"/>
    <n v="2026"/>
    <x v="5"/>
    <n v="20"/>
    <x v="4"/>
    <s v="weekday"/>
    <x v="13"/>
    <x v="9"/>
  </r>
  <r>
    <n v="184"/>
    <n v="6"/>
    <n v="8"/>
    <n v="7"/>
    <x v="168"/>
    <n v="2"/>
    <x v="12"/>
    <x v="1"/>
    <x v="0"/>
    <n v="8"/>
    <n v="2026"/>
    <x v="10"/>
    <n v="20"/>
    <x v="4"/>
    <s v="weekday"/>
    <x v="7"/>
    <x v="4"/>
  </r>
  <r>
    <n v="185"/>
    <n v="20"/>
    <n v="18"/>
    <n v="4"/>
    <x v="169"/>
    <n v="6"/>
    <x v="5"/>
    <x v="1"/>
    <x v="1"/>
    <n v="8"/>
    <n v="2026"/>
    <x v="9"/>
    <n v="15"/>
    <x v="3"/>
    <s v="weekday"/>
    <x v="9"/>
    <x v="1"/>
  </r>
  <r>
    <n v="186"/>
    <n v="20"/>
    <n v="2"/>
    <n v="1"/>
    <x v="170"/>
    <n v="2"/>
    <x v="12"/>
    <x v="1"/>
    <x v="2"/>
    <n v="8"/>
    <n v="2026"/>
    <x v="0"/>
    <n v="14"/>
    <x v="6"/>
    <s v="weekday"/>
    <x v="8"/>
    <x v="5"/>
  </r>
  <r>
    <n v="187"/>
    <n v="15"/>
    <n v="6"/>
    <n v="3"/>
    <x v="171"/>
    <n v="1"/>
    <x v="7"/>
    <x v="1"/>
    <x v="2"/>
    <n v="8"/>
    <n v="2026"/>
    <x v="6"/>
    <n v="19"/>
    <x v="6"/>
    <s v="weekday"/>
    <x v="13"/>
    <x v="6"/>
  </r>
  <r>
    <n v="188"/>
    <n v="1"/>
    <n v="16"/>
    <n v="4"/>
    <x v="172"/>
    <n v="5"/>
    <x v="6"/>
    <x v="1"/>
    <x v="2"/>
    <n v="9"/>
    <n v="2026"/>
    <x v="5"/>
    <n v="14"/>
    <x v="1"/>
    <s v="Weekend"/>
    <x v="12"/>
    <x v="1"/>
  </r>
  <r>
    <n v="189"/>
    <n v="15"/>
    <n v="13"/>
    <n v="1"/>
    <x v="173"/>
    <n v="2"/>
    <x v="3"/>
    <x v="1"/>
    <x v="2"/>
    <n v="9"/>
    <n v="2026"/>
    <x v="1"/>
    <n v="17"/>
    <x v="2"/>
    <s v="Weekend"/>
    <x v="11"/>
    <x v="5"/>
  </r>
  <r>
    <n v="190"/>
    <n v="11"/>
    <n v="11"/>
    <n v="6"/>
    <x v="174"/>
    <n v="6"/>
    <x v="0"/>
    <x v="1"/>
    <x v="1"/>
    <n v="9"/>
    <n v="2026"/>
    <x v="3"/>
    <n v="21"/>
    <x v="6"/>
    <s v="weekday"/>
    <x v="19"/>
    <x v="0"/>
  </r>
  <r>
    <n v="191"/>
    <n v="19"/>
    <n v="1"/>
    <n v="8"/>
    <x v="175"/>
    <n v="6"/>
    <x v="5"/>
    <x v="1"/>
    <x v="2"/>
    <n v="8"/>
    <n v="2026"/>
    <x v="11"/>
    <n v="18"/>
    <x v="5"/>
    <s v="weekday"/>
    <x v="6"/>
    <x v="7"/>
  </r>
  <r>
    <n v="192"/>
    <n v="16"/>
    <n v="18"/>
    <n v="9"/>
    <x v="176"/>
    <n v="1"/>
    <x v="15"/>
    <x v="1"/>
    <x v="1"/>
    <n v="10"/>
    <n v="2026"/>
    <x v="4"/>
    <n v="23"/>
    <x v="2"/>
    <s v="Weekend"/>
    <x v="9"/>
    <x v="2"/>
  </r>
  <r>
    <n v="193"/>
    <n v="20"/>
    <n v="8"/>
    <n v="9"/>
    <x v="177"/>
    <n v="1"/>
    <x v="7"/>
    <x v="1"/>
    <x v="2"/>
    <n v="8"/>
    <n v="2026"/>
    <x v="2"/>
    <n v="16"/>
    <x v="6"/>
    <s v="weekday"/>
    <x v="7"/>
    <x v="2"/>
  </r>
  <r>
    <n v="194"/>
    <n v="15"/>
    <n v="3"/>
    <n v="3"/>
    <x v="178"/>
    <n v="2"/>
    <x v="12"/>
    <x v="1"/>
    <x v="0"/>
    <n v="8"/>
    <n v="2026"/>
    <x v="4"/>
    <n v="20"/>
    <x v="0"/>
    <s v="weekday"/>
    <x v="0"/>
    <x v="6"/>
  </r>
  <r>
    <n v="195"/>
    <n v="14"/>
    <n v="20"/>
    <n v="5"/>
    <x v="179"/>
    <n v="1"/>
    <x v="7"/>
    <x v="1"/>
    <x v="1"/>
    <n v="8"/>
    <n v="2026"/>
    <x v="11"/>
    <n v="16"/>
    <x v="3"/>
    <s v="weekday"/>
    <x v="4"/>
    <x v="8"/>
  </r>
  <r>
    <n v="196"/>
    <n v="10"/>
    <n v="7"/>
    <n v="6"/>
    <x v="180"/>
    <n v="4"/>
    <x v="4"/>
    <x v="1"/>
    <x v="1"/>
    <n v="8"/>
    <n v="2026"/>
    <x v="0"/>
    <n v="15"/>
    <x v="0"/>
    <s v="weekday"/>
    <x v="3"/>
    <x v="0"/>
  </r>
  <r>
    <n v="197"/>
    <n v="12"/>
    <n v="16"/>
    <n v="5"/>
    <x v="181"/>
    <n v="3"/>
    <x v="10"/>
    <x v="0"/>
    <x v="1"/>
    <n v="10"/>
    <n v="2026"/>
    <x v="10"/>
    <n v="21"/>
    <x v="1"/>
    <s v="Weekend"/>
    <x v="12"/>
    <x v="8"/>
  </r>
  <r>
    <n v="198"/>
    <n v="15"/>
    <n v="20"/>
    <n v="10"/>
    <x v="182"/>
    <n v="2"/>
    <x v="13"/>
    <x v="1"/>
    <x v="0"/>
    <n v="10"/>
    <n v="2026"/>
    <x v="9"/>
    <n v="23"/>
    <x v="1"/>
    <s v="Weekend"/>
    <x v="4"/>
    <x v="3"/>
  </r>
  <r>
    <n v="199"/>
    <n v="7"/>
    <n v="16"/>
    <n v="3"/>
    <x v="183"/>
    <n v="3"/>
    <x v="9"/>
    <x v="1"/>
    <x v="0"/>
    <n v="9"/>
    <n v="2026"/>
    <x v="9"/>
    <n v="17"/>
    <x v="1"/>
    <s v="Weekend"/>
    <x v="12"/>
    <x v="6"/>
  </r>
  <r>
    <n v="200"/>
    <n v="12"/>
    <n v="20"/>
    <n v="5"/>
    <x v="184"/>
    <n v="3"/>
    <x v="8"/>
    <x v="1"/>
    <x v="2"/>
    <n v="8"/>
    <n v="2026"/>
    <x v="6"/>
    <n v="15"/>
    <x v="5"/>
    <s v="weekday"/>
    <x v="4"/>
    <x v="8"/>
  </r>
  <r>
    <n v="201"/>
    <n v="13"/>
    <n v="3"/>
    <n v="5"/>
    <x v="185"/>
    <n v="3"/>
    <x v="9"/>
    <x v="1"/>
    <x v="2"/>
    <n v="9"/>
    <n v="2026"/>
    <x v="7"/>
    <n v="19"/>
    <x v="1"/>
    <s v="Weekend"/>
    <x v="0"/>
    <x v="8"/>
  </r>
  <r>
    <n v="202"/>
    <n v="10"/>
    <n v="10"/>
    <n v="8"/>
    <x v="186"/>
    <n v="3"/>
    <x v="9"/>
    <x v="1"/>
    <x v="0"/>
    <n v="9"/>
    <n v="2026"/>
    <x v="1"/>
    <n v="18"/>
    <x v="1"/>
    <s v="Weekend"/>
    <x v="1"/>
    <x v="7"/>
  </r>
  <r>
    <n v="203"/>
    <n v="10"/>
    <n v="1"/>
    <n v="3"/>
    <x v="187"/>
    <n v="3"/>
    <x v="10"/>
    <x v="1"/>
    <x v="2"/>
    <n v="10"/>
    <n v="2026"/>
    <x v="8"/>
    <n v="22"/>
    <x v="2"/>
    <s v="Weekend"/>
    <x v="6"/>
    <x v="6"/>
  </r>
  <r>
    <n v="204"/>
    <n v="5"/>
    <n v="6"/>
    <n v="8"/>
    <x v="188"/>
    <n v="3"/>
    <x v="9"/>
    <x v="1"/>
    <x v="1"/>
    <n v="9"/>
    <n v="2026"/>
    <x v="2"/>
    <n v="22"/>
    <x v="4"/>
    <s v="weekday"/>
    <x v="13"/>
    <x v="7"/>
  </r>
  <r>
    <n v="205"/>
    <n v="14"/>
    <n v="6"/>
    <n v="2"/>
    <x v="189"/>
    <n v="3"/>
    <x v="8"/>
    <x v="1"/>
    <x v="1"/>
    <n v="8"/>
    <n v="2026"/>
    <x v="2"/>
    <n v="16"/>
    <x v="4"/>
    <s v="weekday"/>
    <x v="13"/>
    <x v="9"/>
  </r>
  <r>
    <n v="206"/>
    <n v="17"/>
    <n v="8"/>
    <n v="6"/>
    <x v="190"/>
    <n v="4"/>
    <x v="2"/>
    <x v="1"/>
    <x v="0"/>
    <n v="9"/>
    <n v="2026"/>
    <x v="6"/>
    <n v="22"/>
    <x v="5"/>
    <s v="weekday"/>
    <x v="7"/>
    <x v="0"/>
  </r>
  <r>
    <n v="207"/>
    <n v="11"/>
    <n v="2"/>
    <n v="8"/>
    <x v="191"/>
    <n v="5"/>
    <x v="11"/>
    <x v="1"/>
    <x v="2"/>
    <n v="8"/>
    <n v="2026"/>
    <x v="0"/>
    <n v="17"/>
    <x v="6"/>
    <s v="weekday"/>
    <x v="8"/>
    <x v="7"/>
  </r>
  <r>
    <n v="208"/>
    <n v="20"/>
    <n v="13"/>
    <n v="10"/>
    <x v="192"/>
    <n v="2"/>
    <x v="3"/>
    <x v="1"/>
    <x v="0"/>
    <n v="9"/>
    <n v="2026"/>
    <x v="11"/>
    <n v="18"/>
    <x v="1"/>
    <s v="Weekend"/>
    <x v="11"/>
    <x v="3"/>
  </r>
  <r>
    <n v="209"/>
    <n v="2"/>
    <n v="7"/>
    <n v="6"/>
    <x v="193"/>
    <n v="6"/>
    <x v="0"/>
    <x v="1"/>
    <x v="1"/>
    <n v="9"/>
    <n v="2026"/>
    <x v="4"/>
    <n v="23"/>
    <x v="0"/>
    <s v="weekday"/>
    <x v="3"/>
    <x v="0"/>
  </r>
  <r>
    <n v="210"/>
    <n v="8"/>
    <n v="12"/>
    <n v="6"/>
    <x v="194"/>
    <n v="5"/>
    <x v="11"/>
    <x v="0"/>
    <x v="0"/>
    <n v="8"/>
    <n v="2026"/>
    <x v="8"/>
    <n v="18"/>
    <x v="6"/>
    <s v="weekday"/>
    <x v="17"/>
    <x v="0"/>
  </r>
  <r>
    <n v="211"/>
    <n v="6"/>
    <n v="7"/>
    <n v="8"/>
    <x v="195"/>
    <n v="4"/>
    <x v="2"/>
    <x v="1"/>
    <x v="0"/>
    <n v="9"/>
    <n v="2026"/>
    <x v="2"/>
    <n v="15"/>
    <x v="1"/>
    <s v="Weekend"/>
    <x v="3"/>
    <x v="7"/>
  </r>
  <r>
    <n v="212"/>
    <n v="20"/>
    <n v="1"/>
    <n v="7"/>
    <x v="196"/>
    <n v="4"/>
    <x v="11"/>
    <x v="1"/>
    <x v="1"/>
    <n v="10"/>
    <n v="2026"/>
    <x v="3"/>
    <n v="23"/>
    <x v="1"/>
    <s v="Weekend"/>
    <x v="6"/>
    <x v="4"/>
  </r>
  <r>
    <n v="213"/>
    <n v="7"/>
    <n v="4"/>
    <n v="7"/>
    <x v="197"/>
    <n v="6"/>
    <x v="0"/>
    <x v="1"/>
    <x v="1"/>
    <n v="9"/>
    <n v="2026"/>
    <x v="3"/>
    <n v="18"/>
    <x v="2"/>
    <s v="Weekend"/>
    <x v="15"/>
    <x v="4"/>
  </r>
  <r>
    <n v="214"/>
    <n v="2"/>
    <n v="20"/>
    <n v="9"/>
    <x v="198"/>
    <n v="5"/>
    <x v="6"/>
    <x v="1"/>
    <x v="1"/>
    <n v="9"/>
    <n v="2026"/>
    <x v="0"/>
    <n v="16"/>
    <x v="2"/>
    <s v="Weekend"/>
    <x v="4"/>
    <x v="2"/>
  </r>
  <r>
    <n v="215"/>
    <n v="7"/>
    <n v="16"/>
    <n v="9"/>
    <x v="199"/>
    <n v="4"/>
    <x v="4"/>
    <x v="1"/>
    <x v="2"/>
    <n v="8"/>
    <n v="2026"/>
    <x v="3"/>
    <n v="18"/>
    <x v="6"/>
    <s v="weekday"/>
    <x v="12"/>
    <x v="2"/>
  </r>
  <r>
    <n v="216"/>
    <n v="19"/>
    <n v="3"/>
    <n v="1"/>
    <x v="200"/>
    <n v="4"/>
    <x v="4"/>
    <x v="0"/>
    <x v="0"/>
    <n v="8"/>
    <n v="2026"/>
    <x v="1"/>
    <n v="16"/>
    <x v="0"/>
    <s v="weekday"/>
    <x v="0"/>
    <x v="5"/>
  </r>
  <r>
    <n v="217"/>
    <n v="4"/>
    <n v="14"/>
    <n v="6"/>
    <x v="201"/>
    <n v="3"/>
    <x v="8"/>
    <x v="1"/>
    <x v="0"/>
    <n v="8"/>
    <n v="2026"/>
    <x v="3"/>
    <n v="20"/>
    <x v="4"/>
    <s v="weekday"/>
    <x v="2"/>
    <x v="0"/>
  </r>
  <r>
    <n v="218"/>
    <n v="20"/>
    <n v="17"/>
    <n v="5"/>
    <x v="202"/>
    <n v="1"/>
    <x v="7"/>
    <x v="1"/>
    <x v="0"/>
    <n v="8"/>
    <n v="2026"/>
    <x v="0"/>
    <n v="17"/>
    <x v="3"/>
    <s v="weekday"/>
    <x v="16"/>
    <x v="8"/>
  </r>
  <r>
    <n v="219"/>
    <n v="1"/>
    <n v="13"/>
    <n v="6"/>
    <x v="203"/>
    <n v="4"/>
    <x v="2"/>
    <x v="1"/>
    <x v="0"/>
    <n v="9"/>
    <n v="2026"/>
    <x v="4"/>
    <n v="19"/>
    <x v="2"/>
    <s v="Weekend"/>
    <x v="11"/>
    <x v="0"/>
  </r>
  <r>
    <n v="220"/>
    <n v="2"/>
    <n v="11"/>
    <n v="6"/>
    <x v="204"/>
    <n v="3"/>
    <x v="8"/>
    <x v="1"/>
    <x v="2"/>
    <n v="8"/>
    <n v="2026"/>
    <x v="10"/>
    <n v="19"/>
    <x v="3"/>
    <s v="weekday"/>
    <x v="19"/>
    <x v="0"/>
  </r>
  <r>
    <n v="221"/>
    <n v="2"/>
    <n v="9"/>
    <n v="4"/>
    <x v="205"/>
    <n v="2"/>
    <x v="3"/>
    <x v="1"/>
    <x v="1"/>
    <n v="9"/>
    <n v="2026"/>
    <x v="9"/>
    <n v="14"/>
    <x v="2"/>
    <s v="Weekend"/>
    <x v="10"/>
    <x v="1"/>
  </r>
  <r>
    <n v="222"/>
    <n v="18"/>
    <n v="15"/>
    <n v="4"/>
    <x v="206"/>
    <n v="1"/>
    <x v="1"/>
    <x v="1"/>
    <x v="2"/>
    <n v="9"/>
    <n v="2026"/>
    <x v="9"/>
    <n v="23"/>
    <x v="3"/>
    <s v="weekday"/>
    <x v="5"/>
    <x v="1"/>
  </r>
  <r>
    <n v="223"/>
    <n v="12"/>
    <n v="10"/>
    <n v="8"/>
    <x v="207"/>
    <n v="1"/>
    <x v="1"/>
    <x v="1"/>
    <x v="0"/>
    <n v="9"/>
    <n v="2026"/>
    <x v="9"/>
    <n v="18"/>
    <x v="2"/>
    <s v="Weekend"/>
    <x v="1"/>
    <x v="7"/>
  </r>
  <r>
    <n v="224"/>
    <n v="11"/>
    <n v="1"/>
    <n v="4"/>
    <x v="208"/>
    <n v="1"/>
    <x v="1"/>
    <x v="1"/>
    <x v="2"/>
    <n v="9"/>
    <n v="2026"/>
    <x v="3"/>
    <n v="21"/>
    <x v="3"/>
    <s v="weekday"/>
    <x v="6"/>
    <x v="1"/>
  </r>
  <r>
    <n v="225"/>
    <n v="1"/>
    <n v="9"/>
    <n v="5"/>
    <x v="84"/>
    <n v="6"/>
    <x v="0"/>
    <x v="1"/>
    <x v="1"/>
    <n v="9"/>
    <n v="2026"/>
    <x v="4"/>
    <n v="23"/>
    <x v="4"/>
    <s v="weekday"/>
    <x v="10"/>
    <x v="8"/>
  </r>
  <r>
    <n v="226"/>
    <n v="19"/>
    <n v="4"/>
    <n v="5"/>
    <x v="209"/>
    <n v="5"/>
    <x v="6"/>
    <x v="1"/>
    <x v="2"/>
    <n v="9"/>
    <n v="2026"/>
    <x v="3"/>
    <n v="14"/>
    <x v="2"/>
    <s v="Weekend"/>
    <x v="15"/>
    <x v="8"/>
  </r>
  <r>
    <n v="227"/>
    <n v="7"/>
    <n v="20"/>
    <n v="6"/>
    <x v="210"/>
    <n v="3"/>
    <x v="9"/>
    <x v="1"/>
    <x v="1"/>
    <n v="9"/>
    <n v="2026"/>
    <x v="5"/>
    <n v="19"/>
    <x v="2"/>
    <s v="Weekend"/>
    <x v="4"/>
    <x v="0"/>
  </r>
  <r>
    <n v="228"/>
    <n v="20"/>
    <n v="2"/>
    <n v="2"/>
    <x v="211"/>
    <n v="1"/>
    <x v="1"/>
    <x v="1"/>
    <x v="1"/>
    <n v="9"/>
    <n v="2026"/>
    <x v="11"/>
    <n v="17"/>
    <x v="2"/>
    <s v="Weekend"/>
    <x v="8"/>
    <x v="9"/>
  </r>
  <r>
    <n v="229"/>
    <n v="17"/>
    <n v="2"/>
    <n v="9"/>
    <x v="212"/>
    <n v="1"/>
    <x v="7"/>
    <x v="1"/>
    <x v="0"/>
    <n v="8"/>
    <n v="2026"/>
    <x v="5"/>
    <n v="15"/>
    <x v="6"/>
    <s v="weekday"/>
    <x v="8"/>
    <x v="2"/>
  </r>
  <r>
    <n v="230"/>
    <n v="5"/>
    <n v="8"/>
    <n v="7"/>
    <x v="213"/>
    <n v="2"/>
    <x v="3"/>
    <x v="1"/>
    <x v="0"/>
    <n v="9"/>
    <n v="2026"/>
    <x v="6"/>
    <n v="14"/>
    <x v="2"/>
    <s v="Weekend"/>
    <x v="7"/>
    <x v="4"/>
  </r>
  <r>
    <n v="231"/>
    <n v="2"/>
    <n v="20"/>
    <n v="2"/>
    <x v="214"/>
    <n v="4"/>
    <x v="2"/>
    <x v="1"/>
    <x v="2"/>
    <n v="9"/>
    <n v="2026"/>
    <x v="9"/>
    <n v="20"/>
    <x v="2"/>
    <s v="Weekend"/>
    <x v="4"/>
    <x v="9"/>
  </r>
  <r>
    <n v="232"/>
    <n v="13"/>
    <n v="7"/>
    <n v="7"/>
    <x v="215"/>
    <n v="4"/>
    <x v="4"/>
    <x v="1"/>
    <x v="2"/>
    <n v="8"/>
    <n v="2026"/>
    <x v="3"/>
    <n v="17"/>
    <x v="4"/>
    <s v="weekday"/>
    <x v="3"/>
    <x v="4"/>
  </r>
  <r>
    <n v="233"/>
    <n v="11"/>
    <n v="15"/>
    <n v="8"/>
    <x v="216"/>
    <n v="6"/>
    <x v="5"/>
    <x v="1"/>
    <x v="1"/>
    <n v="8"/>
    <n v="2026"/>
    <x v="0"/>
    <n v="20"/>
    <x v="4"/>
    <s v="weekday"/>
    <x v="5"/>
    <x v="7"/>
  </r>
  <r>
    <n v="234"/>
    <n v="2"/>
    <n v="20"/>
    <n v="5"/>
    <x v="217"/>
    <n v="3"/>
    <x v="8"/>
    <x v="0"/>
    <x v="0"/>
    <n v="8"/>
    <n v="2026"/>
    <x v="7"/>
    <n v="16"/>
    <x v="3"/>
    <s v="weekday"/>
    <x v="4"/>
    <x v="8"/>
  </r>
  <r>
    <n v="235"/>
    <n v="3"/>
    <n v="13"/>
    <n v="3"/>
    <x v="218"/>
    <n v="4"/>
    <x v="2"/>
    <x v="1"/>
    <x v="1"/>
    <n v="9"/>
    <n v="2026"/>
    <x v="9"/>
    <n v="22"/>
    <x v="6"/>
    <s v="weekday"/>
    <x v="11"/>
    <x v="6"/>
  </r>
  <r>
    <n v="236"/>
    <n v="2"/>
    <n v="18"/>
    <n v="9"/>
    <x v="219"/>
    <n v="3"/>
    <x v="9"/>
    <x v="1"/>
    <x v="0"/>
    <n v="9"/>
    <n v="2026"/>
    <x v="8"/>
    <n v="17"/>
    <x v="2"/>
    <s v="Weekend"/>
    <x v="9"/>
    <x v="2"/>
  </r>
  <r>
    <n v="237"/>
    <n v="4"/>
    <n v="18"/>
    <n v="7"/>
    <x v="220"/>
    <n v="1"/>
    <x v="7"/>
    <x v="1"/>
    <x v="0"/>
    <n v="8"/>
    <n v="2026"/>
    <x v="5"/>
    <n v="20"/>
    <x v="5"/>
    <s v="weekday"/>
    <x v="9"/>
    <x v="4"/>
  </r>
  <r>
    <n v="238"/>
    <n v="4"/>
    <n v="8"/>
    <n v="6"/>
    <x v="221"/>
    <n v="2"/>
    <x v="13"/>
    <x v="1"/>
    <x v="0"/>
    <n v="10"/>
    <n v="2026"/>
    <x v="10"/>
    <n v="22"/>
    <x v="1"/>
    <s v="Weekend"/>
    <x v="7"/>
    <x v="0"/>
  </r>
  <r>
    <n v="239"/>
    <n v="7"/>
    <n v="19"/>
    <n v="9"/>
    <x v="222"/>
    <n v="6"/>
    <x v="0"/>
    <x v="1"/>
    <x v="2"/>
    <n v="9"/>
    <n v="2026"/>
    <x v="2"/>
    <n v="20"/>
    <x v="2"/>
    <s v="Weekend"/>
    <x v="18"/>
    <x v="2"/>
  </r>
  <r>
    <n v="240"/>
    <n v="11"/>
    <n v="16"/>
    <n v="6"/>
    <x v="223"/>
    <n v="6"/>
    <x v="5"/>
    <x v="1"/>
    <x v="0"/>
    <n v="8"/>
    <n v="2026"/>
    <x v="0"/>
    <n v="20"/>
    <x v="5"/>
    <s v="weekday"/>
    <x v="12"/>
    <x v="0"/>
  </r>
  <r>
    <n v="241"/>
    <n v="4"/>
    <n v="19"/>
    <n v="4"/>
    <x v="44"/>
    <n v="6"/>
    <x v="5"/>
    <x v="1"/>
    <x v="0"/>
    <n v="8"/>
    <n v="2026"/>
    <x v="2"/>
    <n v="14"/>
    <x v="5"/>
    <s v="weekday"/>
    <x v="18"/>
    <x v="1"/>
  </r>
  <r>
    <n v="242"/>
    <n v="3"/>
    <n v="13"/>
    <n v="5"/>
    <x v="224"/>
    <n v="5"/>
    <x v="11"/>
    <x v="1"/>
    <x v="2"/>
    <n v="8"/>
    <n v="2026"/>
    <x v="5"/>
    <n v="15"/>
    <x v="4"/>
    <s v="weekday"/>
    <x v="11"/>
    <x v="8"/>
  </r>
  <r>
    <n v="243"/>
    <n v="20"/>
    <n v="6"/>
    <n v="5"/>
    <x v="225"/>
    <n v="3"/>
    <x v="9"/>
    <x v="1"/>
    <x v="2"/>
    <n v="9"/>
    <n v="2026"/>
    <x v="7"/>
    <n v="14"/>
    <x v="1"/>
    <s v="Weekend"/>
    <x v="13"/>
    <x v="8"/>
  </r>
  <r>
    <n v="244"/>
    <n v="12"/>
    <n v="11"/>
    <n v="7"/>
    <x v="226"/>
    <n v="2"/>
    <x v="12"/>
    <x v="1"/>
    <x v="0"/>
    <n v="8"/>
    <n v="2026"/>
    <x v="10"/>
    <n v="18"/>
    <x v="4"/>
    <s v="weekday"/>
    <x v="19"/>
    <x v="4"/>
  </r>
  <r>
    <n v="245"/>
    <n v="3"/>
    <n v="19"/>
    <n v="10"/>
    <x v="227"/>
    <n v="5"/>
    <x v="6"/>
    <x v="0"/>
    <x v="1"/>
    <n v="9"/>
    <n v="2026"/>
    <x v="3"/>
    <n v="23"/>
    <x v="6"/>
    <s v="weekday"/>
    <x v="18"/>
    <x v="3"/>
  </r>
  <r>
    <n v="246"/>
    <n v="17"/>
    <n v="11"/>
    <n v="3"/>
    <x v="228"/>
    <n v="6"/>
    <x v="5"/>
    <x v="1"/>
    <x v="2"/>
    <n v="8"/>
    <n v="2026"/>
    <x v="6"/>
    <n v="19"/>
    <x v="6"/>
    <s v="weekday"/>
    <x v="19"/>
    <x v="6"/>
  </r>
  <r>
    <n v="247"/>
    <n v="6"/>
    <n v="10"/>
    <n v="1"/>
    <x v="229"/>
    <n v="6"/>
    <x v="5"/>
    <x v="1"/>
    <x v="1"/>
    <n v="8"/>
    <n v="2026"/>
    <x v="2"/>
    <n v="18"/>
    <x v="4"/>
    <s v="weekday"/>
    <x v="1"/>
    <x v="5"/>
  </r>
  <r>
    <n v="248"/>
    <n v="12"/>
    <n v="20"/>
    <n v="3"/>
    <x v="230"/>
    <n v="5"/>
    <x v="6"/>
    <x v="1"/>
    <x v="1"/>
    <n v="9"/>
    <n v="2026"/>
    <x v="0"/>
    <n v="23"/>
    <x v="0"/>
    <s v="weekday"/>
    <x v="4"/>
    <x v="6"/>
  </r>
  <r>
    <n v="249"/>
    <n v="6"/>
    <n v="16"/>
    <n v="10"/>
    <x v="231"/>
    <n v="4"/>
    <x v="4"/>
    <x v="1"/>
    <x v="1"/>
    <n v="8"/>
    <n v="2026"/>
    <x v="7"/>
    <n v="17"/>
    <x v="6"/>
    <s v="weekday"/>
    <x v="12"/>
    <x v="3"/>
  </r>
  <r>
    <n v="250"/>
    <n v="3"/>
    <n v="20"/>
    <n v="8"/>
    <x v="232"/>
    <n v="6"/>
    <x v="14"/>
    <x v="1"/>
    <x v="2"/>
    <n v="10"/>
    <n v="2026"/>
    <x v="11"/>
    <n v="21"/>
    <x v="2"/>
    <s v="Weekend"/>
    <x v="4"/>
    <x v="7"/>
  </r>
  <r>
    <n v="251"/>
    <n v="17"/>
    <n v="11"/>
    <n v="4"/>
    <x v="233"/>
    <n v="6"/>
    <x v="0"/>
    <x v="1"/>
    <x v="1"/>
    <n v="9"/>
    <n v="2026"/>
    <x v="11"/>
    <n v="15"/>
    <x v="1"/>
    <s v="Weekend"/>
    <x v="19"/>
    <x v="1"/>
  </r>
  <r>
    <n v="252"/>
    <n v="19"/>
    <n v="11"/>
    <n v="9"/>
    <x v="234"/>
    <n v="3"/>
    <x v="8"/>
    <x v="0"/>
    <x v="2"/>
    <n v="8"/>
    <n v="2026"/>
    <x v="7"/>
    <n v="18"/>
    <x v="6"/>
    <s v="weekday"/>
    <x v="19"/>
    <x v="2"/>
  </r>
  <r>
    <n v="253"/>
    <n v="16"/>
    <n v="13"/>
    <n v="8"/>
    <x v="235"/>
    <n v="1"/>
    <x v="7"/>
    <x v="1"/>
    <x v="1"/>
    <n v="8"/>
    <n v="2026"/>
    <x v="5"/>
    <n v="20"/>
    <x v="4"/>
    <s v="weekday"/>
    <x v="11"/>
    <x v="7"/>
  </r>
  <r>
    <n v="254"/>
    <n v="10"/>
    <n v="15"/>
    <n v="9"/>
    <x v="236"/>
    <n v="2"/>
    <x v="3"/>
    <x v="1"/>
    <x v="2"/>
    <n v="9"/>
    <n v="2026"/>
    <x v="8"/>
    <n v="22"/>
    <x v="4"/>
    <s v="weekday"/>
    <x v="5"/>
    <x v="2"/>
  </r>
  <r>
    <n v="255"/>
    <n v="9"/>
    <n v="3"/>
    <n v="5"/>
    <x v="237"/>
    <n v="6"/>
    <x v="0"/>
    <x v="1"/>
    <x v="1"/>
    <n v="9"/>
    <n v="2026"/>
    <x v="11"/>
    <n v="21"/>
    <x v="0"/>
    <s v="weekday"/>
    <x v="0"/>
    <x v="8"/>
  </r>
  <r>
    <n v="256"/>
    <n v="19"/>
    <n v="5"/>
    <n v="4"/>
    <x v="111"/>
    <n v="2"/>
    <x v="12"/>
    <x v="1"/>
    <x v="0"/>
    <n v="8"/>
    <n v="2026"/>
    <x v="2"/>
    <n v="17"/>
    <x v="5"/>
    <s v="weekday"/>
    <x v="14"/>
    <x v="1"/>
  </r>
  <r>
    <n v="257"/>
    <n v="13"/>
    <n v="14"/>
    <n v="10"/>
    <x v="238"/>
    <n v="6"/>
    <x v="5"/>
    <x v="1"/>
    <x v="0"/>
    <n v="8"/>
    <n v="2026"/>
    <x v="11"/>
    <n v="20"/>
    <x v="5"/>
    <s v="weekday"/>
    <x v="2"/>
    <x v="3"/>
  </r>
  <r>
    <n v="258"/>
    <n v="11"/>
    <n v="2"/>
    <n v="5"/>
    <x v="239"/>
    <n v="2"/>
    <x v="12"/>
    <x v="1"/>
    <x v="1"/>
    <n v="8"/>
    <n v="2026"/>
    <x v="3"/>
    <n v="17"/>
    <x v="0"/>
    <s v="weekday"/>
    <x v="8"/>
    <x v="8"/>
  </r>
  <r>
    <n v="259"/>
    <n v="19"/>
    <n v="10"/>
    <n v="8"/>
    <x v="240"/>
    <n v="4"/>
    <x v="4"/>
    <x v="1"/>
    <x v="2"/>
    <n v="8"/>
    <n v="2026"/>
    <x v="0"/>
    <n v="19"/>
    <x v="4"/>
    <s v="weekday"/>
    <x v="1"/>
    <x v="7"/>
  </r>
  <r>
    <n v="260"/>
    <n v="8"/>
    <n v="6"/>
    <n v="3"/>
    <x v="241"/>
    <n v="4"/>
    <x v="2"/>
    <x v="1"/>
    <x v="1"/>
    <n v="9"/>
    <n v="2026"/>
    <x v="5"/>
    <n v="14"/>
    <x v="2"/>
    <s v="Weekend"/>
    <x v="13"/>
    <x v="6"/>
  </r>
  <r>
    <n v="261"/>
    <n v="14"/>
    <n v="5"/>
    <n v="4"/>
    <x v="242"/>
    <n v="4"/>
    <x v="4"/>
    <x v="1"/>
    <x v="2"/>
    <n v="8"/>
    <n v="2026"/>
    <x v="7"/>
    <n v="16"/>
    <x v="0"/>
    <s v="weekday"/>
    <x v="14"/>
    <x v="1"/>
  </r>
  <r>
    <n v="262"/>
    <n v="2"/>
    <n v="5"/>
    <n v="6"/>
    <x v="243"/>
    <n v="6"/>
    <x v="5"/>
    <x v="1"/>
    <x v="1"/>
    <n v="8"/>
    <n v="2026"/>
    <x v="2"/>
    <n v="17"/>
    <x v="5"/>
    <s v="weekday"/>
    <x v="14"/>
    <x v="0"/>
  </r>
  <r>
    <n v="263"/>
    <n v="2"/>
    <n v="20"/>
    <n v="9"/>
    <x v="244"/>
    <n v="1"/>
    <x v="7"/>
    <x v="1"/>
    <x v="2"/>
    <n v="8"/>
    <n v="2026"/>
    <x v="8"/>
    <n v="14"/>
    <x v="0"/>
    <s v="weekday"/>
    <x v="4"/>
    <x v="2"/>
  </r>
  <r>
    <n v="264"/>
    <n v="8"/>
    <n v="8"/>
    <n v="8"/>
    <x v="245"/>
    <n v="1"/>
    <x v="7"/>
    <x v="1"/>
    <x v="0"/>
    <n v="8"/>
    <n v="2026"/>
    <x v="6"/>
    <n v="15"/>
    <x v="4"/>
    <s v="weekday"/>
    <x v="7"/>
    <x v="7"/>
  </r>
  <r>
    <n v="265"/>
    <n v="6"/>
    <n v="16"/>
    <n v="8"/>
    <x v="246"/>
    <n v="2"/>
    <x v="12"/>
    <x v="1"/>
    <x v="0"/>
    <n v="8"/>
    <n v="2026"/>
    <x v="5"/>
    <n v="19"/>
    <x v="3"/>
    <s v="weekday"/>
    <x v="12"/>
    <x v="7"/>
  </r>
  <r>
    <n v="266"/>
    <n v="17"/>
    <n v="7"/>
    <n v="8"/>
    <x v="247"/>
    <n v="4"/>
    <x v="2"/>
    <x v="1"/>
    <x v="1"/>
    <n v="9"/>
    <n v="2026"/>
    <x v="9"/>
    <n v="16"/>
    <x v="1"/>
    <s v="Weekend"/>
    <x v="3"/>
    <x v="7"/>
  </r>
  <r>
    <n v="267"/>
    <n v="1"/>
    <n v="17"/>
    <n v="3"/>
    <x v="248"/>
    <n v="1"/>
    <x v="1"/>
    <x v="1"/>
    <x v="2"/>
    <n v="9"/>
    <n v="2026"/>
    <x v="11"/>
    <n v="21"/>
    <x v="6"/>
    <s v="weekday"/>
    <x v="16"/>
    <x v="6"/>
  </r>
  <r>
    <n v="268"/>
    <n v="14"/>
    <n v="7"/>
    <n v="3"/>
    <x v="249"/>
    <n v="5"/>
    <x v="16"/>
    <x v="1"/>
    <x v="2"/>
    <n v="10"/>
    <n v="2026"/>
    <x v="10"/>
    <n v="23"/>
    <x v="2"/>
    <s v="Weekend"/>
    <x v="3"/>
    <x v="6"/>
  </r>
  <r>
    <n v="269"/>
    <n v="4"/>
    <n v="18"/>
    <n v="7"/>
    <x v="250"/>
    <n v="5"/>
    <x v="11"/>
    <x v="1"/>
    <x v="2"/>
    <n v="8"/>
    <n v="2026"/>
    <x v="4"/>
    <n v="16"/>
    <x v="0"/>
    <s v="weekday"/>
    <x v="9"/>
    <x v="4"/>
  </r>
  <r>
    <n v="270"/>
    <n v="7"/>
    <n v="14"/>
    <n v="10"/>
    <x v="251"/>
    <n v="3"/>
    <x v="10"/>
    <x v="0"/>
    <x v="0"/>
    <n v="10"/>
    <n v="2026"/>
    <x v="11"/>
    <n v="21"/>
    <x v="2"/>
    <s v="Weekend"/>
    <x v="2"/>
    <x v="3"/>
  </r>
  <r>
    <n v="271"/>
    <n v="20"/>
    <n v="7"/>
    <n v="8"/>
    <x v="252"/>
    <n v="1"/>
    <x v="7"/>
    <x v="1"/>
    <x v="0"/>
    <n v="8"/>
    <n v="2026"/>
    <x v="2"/>
    <n v="19"/>
    <x v="5"/>
    <s v="weekday"/>
    <x v="3"/>
    <x v="7"/>
  </r>
  <r>
    <n v="272"/>
    <n v="16"/>
    <n v="12"/>
    <n v="9"/>
    <x v="253"/>
    <n v="2"/>
    <x v="12"/>
    <x v="1"/>
    <x v="1"/>
    <n v="8"/>
    <n v="2026"/>
    <x v="6"/>
    <n v="17"/>
    <x v="3"/>
    <s v="weekday"/>
    <x v="17"/>
    <x v="2"/>
  </r>
  <r>
    <n v="273"/>
    <n v="5"/>
    <n v="18"/>
    <n v="10"/>
    <x v="254"/>
    <n v="5"/>
    <x v="11"/>
    <x v="1"/>
    <x v="2"/>
    <n v="8"/>
    <n v="2026"/>
    <x v="4"/>
    <n v="19"/>
    <x v="6"/>
    <s v="weekday"/>
    <x v="9"/>
    <x v="3"/>
  </r>
  <r>
    <n v="274"/>
    <n v="15"/>
    <n v="1"/>
    <n v="1"/>
    <x v="255"/>
    <n v="1"/>
    <x v="1"/>
    <x v="1"/>
    <x v="0"/>
    <n v="9"/>
    <n v="2026"/>
    <x v="1"/>
    <n v="22"/>
    <x v="4"/>
    <s v="weekday"/>
    <x v="6"/>
    <x v="5"/>
  </r>
  <r>
    <n v="275"/>
    <n v="2"/>
    <n v="12"/>
    <n v="4"/>
    <x v="256"/>
    <n v="1"/>
    <x v="7"/>
    <x v="0"/>
    <x v="1"/>
    <n v="8"/>
    <n v="2026"/>
    <x v="1"/>
    <n v="20"/>
    <x v="4"/>
    <s v="weekday"/>
    <x v="17"/>
    <x v="1"/>
  </r>
  <r>
    <n v="276"/>
    <n v="7"/>
    <n v="4"/>
    <n v="6"/>
    <x v="45"/>
    <n v="6"/>
    <x v="5"/>
    <x v="1"/>
    <x v="0"/>
    <n v="8"/>
    <n v="2026"/>
    <x v="6"/>
    <n v="14"/>
    <x v="5"/>
    <s v="weekday"/>
    <x v="15"/>
    <x v="0"/>
  </r>
  <r>
    <n v="277"/>
    <n v="12"/>
    <n v="10"/>
    <n v="10"/>
    <x v="257"/>
    <n v="6"/>
    <x v="0"/>
    <x v="1"/>
    <x v="0"/>
    <n v="9"/>
    <n v="2026"/>
    <x v="9"/>
    <n v="21"/>
    <x v="5"/>
    <s v="weekday"/>
    <x v="1"/>
    <x v="3"/>
  </r>
  <r>
    <n v="278"/>
    <n v="15"/>
    <n v="2"/>
    <n v="9"/>
    <x v="258"/>
    <n v="2"/>
    <x v="3"/>
    <x v="1"/>
    <x v="1"/>
    <n v="9"/>
    <n v="2026"/>
    <x v="1"/>
    <n v="21"/>
    <x v="3"/>
    <s v="weekday"/>
    <x v="8"/>
    <x v="2"/>
  </r>
  <r>
    <n v="279"/>
    <n v="6"/>
    <n v="19"/>
    <n v="6"/>
    <x v="259"/>
    <n v="3"/>
    <x v="10"/>
    <x v="1"/>
    <x v="2"/>
    <n v="10"/>
    <n v="2026"/>
    <x v="1"/>
    <n v="22"/>
    <x v="1"/>
    <s v="Weekend"/>
    <x v="18"/>
    <x v="0"/>
  </r>
  <r>
    <n v="280"/>
    <n v="12"/>
    <n v="4"/>
    <n v="10"/>
    <x v="260"/>
    <n v="3"/>
    <x v="8"/>
    <x v="1"/>
    <x v="0"/>
    <n v="8"/>
    <n v="2026"/>
    <x v="0"/>
    <n v="19"/>
    <x v="3"/>
    <s v="weekday"/>
    <x v="15"/>
    <x v="3"/>
  </r>
  <r>
    <n v="281"/>
    <n v="19"/>
    <n v="8"/>
    <n v="4"/>
    <x v="261"/>
    <n v="5"/>
    <x v="11"/>
    <x v="1"/>
    <x v="2"/>
    <n v="8"/>
    <n v="2026"/>
    <x v="6"/>
    <n v="20"/>
    <x v="4"/>
    <s v="weekday"/>
    <x v="7"/>
    <x v="1"/>
  </r>
  <r>
    <n v="282"/>
    <n v="13"/>
    <n v="11"/>
    <n v="2"/>
    <x v="262"/>
    <n v="6"/>
    <x v="5"/>
    <x v="1"/>
    <x v="1"/>
    <n v="8"/>
    <n v="2026"/>
    <x v="6"/>
    <n v="16"/>
    <x v="6"/>
    <s v="weekday"/>
    <x v="19"/>
    <x v="9"/>
  </r>
  <r>
    <n v="283"/>
    <n v="10"/>
    <n v="13"/>
    <n v="2"/>
    <x v="263"/>
    <n v="4"/>
    <x v="4"/>
    <x v="1"/>
    <x v="2"/>
    <n v="8"/>
    <n v="2026"/>
    <x v="9"/>
    <n v="15"/>
    <x v="5"/>
    <s v="weekday"/>
    <x v="11"/>
    <x v="9"/>
  </r>
  <r>
    <n v="284"/>
    <n v="6"/>
    <n v="1"/>
    <n v="6"/>
    <x v="264"/>
    <n v="1"/>
    <x v="7"/>
    <x v="1"/>
    <x v="2"/>
    <n v="8"/>
    <n v="2026"/>
    <x v="5"/>
    <n v="18"/>
    <x v="3"/>
    <s v="weekday"/>
    <x v="6"/>
    <x v="0"/>
  </r>
  <r>
    <n v="285"/>
    <n v="1"/>
    <n v="13"/>
    <n v="1"/>
    <x v="265"/>
    <n v="3"/>
    <x v="9"/>
    <x v="1"/>
    <x v="2"/>
    <n v="9"/>
    <n v="2026"/>
    <x v="2"/>
    <n v="23"/>
    <x v="6"/>
    <s v="weekday"/>
    <x v="11"/>
    <x v="5"/>
  </r>
  <r>
    <n v="286"/>
    <n v="1"/>
    <n v="20"/>
    <n v="6"/>
    <x v="266"/>
    <n v="4"/>
    <x v="11"/>
    <x v="0"/>
    <x v="2"/>
    <n v="10"/>
    <n v="2026"/>
    <x v="10"/>
    <n v="21"/>
    <x v="2"/>
    <s v="Weekend"/>
    <x v="4"/>
    <x v="0"/>
  </r>
  <r>
    <n v="287"/>
    <n v="9"/>
    <n v="14"/>
    <n v="8"/>
    <x v="267"/>
    <n v="3"/>
    <x v="10"/>
    <x v="1"/>
    <x v="0"/>
    <n v="10"/>
    <n v="2026"/>
    <x v="9"/>
    <n v="22"/>
    <x v="2"/>
    <s v="Weekend"/>
    <x v="2"/>
    <x v="7"/>
  </r>
  <r>
    <n v="288"/>
    <n v="18"/>
    <n v="11"/>
    <n v="10"/>
    <x v="268"/>
    <n v="4"/>
    <x v="2"/>
    <x v="1"/>
    <x v="0"/>
    <n v="9"/>
    <n v="2026"/>
    <x v="6"/>
    <n v="21"/>
    <x v="5"/>
    <s v="weekday"/>
    <x v="19"/>
    <x v="3"/>
  </r>
  <r>
    <n v="289"/>
    <n v="18"/>
    <n v="15"/>
    <n v="4"/>
    <x v="269"/>
    <n v="3"/>
    <x v="9"/>
    <x v="1"/>
    <x v="0"/>
    <n v="9"/>
    <n v="2026"/>
    <x v="6"/>
    <n v="22"/>
    <x v="0"/>
    <s v="weekday"/>
    <x v="5"/>
    <x v="1"/>
  </r>
  <r>
    <n v="290"/>
    <n v="18"/>
    <n v="6"/>
    <n v="6"/>
    <x v="270"/>
    <n v="3"/>
    <x v="9"/>
    <x v="1"/>
    <x v="1"/>
    <n v="9"/>
    <n v="2026"/>
    <x v="2"/>
    <n v="17"/>
    <x v="1"/>
    <s v="Weekend"/>
    <x v="13"/>
    <x v="0"/>
  </r>
  <r>
    <n v="291"/>
    <n v="4"/>
    <n v="4"/>
    <n v="5"/>
    <x v="271"/>
    <n v="2"/>
    <x v="3"/>
    <x v="1"/>
    <x v="1"/>
    <n v="9"/>
    <n v="2026"/>
    <x v="6"/>
    <n v="17"/>
    <x v="1"/>
    <s v="Weekend"/>
    <x v="15"/>
    <x v="8"/>
  </r>
  <r>
    <n v="292"/>
    <n v="2"/>
    <n v="12"/>
    <n v="1"/>
    <x v="272"/>
    <n v="3"/>
    <x v="9"/>
    <x v="1"/>
    <x v="1"/>
    <n v="9"/>
    <n v="2026"/>
    <x v="2"/>
    <n v="20"/>
    <x v="1"/>
    <s v="Weekend"/>
    <x v="17"/>
    <x v="5"/>
  </r>
  <r>
    <n v="293"/>
    <n v="15"/>
    <n v="7"/>
    <n v="7"/>
    <x v="273"/>
    <n v="6"/>
    <x v="5"/>
    <x v="1"/>
    <x v="1"/>
    <n v="8"/>
    <n v="2026"/>
    <x v="10"/>
    <n v="16"/>
    <x v="4"/>
    <s v="weekday"/>
    <x v="3"/>
    <x v="4"/>
  </r>
  <r>
    <n v="294"/>
    <n v="17"/>
    <n v="15"/>
    <n v="5"/>
    <x v="274"/>
    <n v="4"/>
    <x v="2"/>
    <x v="1"/>
    <x v="0"/>
    <n v="9"/>
    <n v="2026"/>
    <x v="2"/>
    <n v="22"/>
    <x v="4"/>
    <s v="weekday"/>
    <x v="5"/>
    <x v="8"/>
  </r>
  <r>
    <n v="295"/>
    <n v="7"/>
    <n v="20"/>
    <n v="4"/>
    <x v="275"/>
    <n v="3"/>
    <x v="9"/>
    <x v="1"/>
    <x v="2"/>
    <n v="9"/>
    <n v="2026"/>
    <x v="3"/>
    <n v="19"/>
    <x v="1"/>
    <s v="Weekend"/>
    <x v="4"/>
    <x v="1"/>
  </r>
  <r>
    <n v="296"/>
    <n v="9"/>
    <n v="20"/>
    <n v="4"/>
    <x v="276"/>
    <n v="6"/>
    <x v="0"/>
    <x v="1"/>
    <x v="2"/>
    <n v="9"/>
    <n v="2026"/>
    <x v="10"/>
    <n v="20"/>
    <x v="1"/>
    <s v="Weekend"/>
    <x v="4"/>
    <x v="1"/>
  </r>
  <r>
    <n v="297"/>
    <n v="2"/>
    <n v="9"/>
    <n v="7"/>
    <x v="277"/>
    <n v="6"/>
    <x v="5"/>
    <x v="1"/>
    <x v="2"/>
    <n v="8"/>
    <n v="2026"/>
    <x v="2"/>
    <n v="15"/>
    <x v="5"/>
    <s v="weekday"/>
    <x v="10"/>
    <x v="4"/>
  </r>
  <r>
    <n v="298"/>
    <n v="9"/>
    <n v="17"/>
    <n v="4"/>
    <x v="278"/>
    <n v="6"/>
    <x v="14"/>
    <x v="1"/>
    <x v="1"/>
    <n v="10"/>
    <n v="2026"/>
    <x v="11"/>
    <n v="22"/>
    <x v="2"/>
    <s v="Weekend"/>
    <x v="16"/>
    <x v="1"/>
  </r>
  <r>
    <n v="299"/>
    <n v="10"/>
    <n v="14"/>
    <n v="4"/>
    <x v="279"/>
    <n v="6"/>
    <x v="5"/>
    <x v="1"/>
    <x v="1"/>
    <n v="8"/>
    <n v="2026"/>
    <x v="11"/>
    <n v="15"/>
    <x v="0"/>
    <s v="weekday"/>
    <x v="2"/>
    <x v="1"/>
  </r>
  <r>
    <n v="300"/>
    <n v="11"/>
    <n v="8"/>
    <n v="1"/>
    <x v="280"/>
    <n v="4"/>
    <x v="4"/>
    <x v="1"/>
    <x v="2"/>
    <n v="8"/>
    <n v="2026"/>
    <x v="5"/>
    <n v="14"/>
    <x v="6"/>
    <s v="weekday"/>
    <x v="7"/>
    <x v="5"/>
  </r>
  <r>
    <n v="301"/>
    <n v="12"/>
    <n v="15"/>
    <n v="7"/>
    <x v="281"/>
    <n v="1"/>
    <x v="1"/>
    <x v="1"/>
    <x v="0"/>
    <n v="9"/>
    <n v="2026"/>
    <x v="8"/>
    <n v="22"/>
    <x v="4"/>
    <s v="weekday"/>
    <x v="5"/>
    <x v="4"/>
  </r>
  <r>
    <n v="302"/>
    <n v="7"/>
    <n v="9"/>
    <n v="9"/>
    <x v="282"/>
    <n v="4"/>
    <x v="2"/>
    <x v="1"/>
    <x v="0"/>
    <n v="9"/>
    <n v="2026"/>
    <x v="8"/>
    <n v="22"/>
    <x v="3"/>
    <s v="weekday"/>
    <x v="10"/>
    <x v="2"/>
  </r>
  <r>
    <n v="303"/>
    <n v="5"/>
    <n v="20"/>
    <n v="9"/>
    <x v="283"/>
    <n v="3"/>
    <x v="9"/>
    <x v="0"/>
    <x v="1"/>
    <n v="9"/>
    <n v="2026"/>
    <x v="3"/>
    <n v="19"/>
    <x v="2"/>
    <s v="Weekend"/>
    <x v="4"/>
    <x v="2"/>
  </r>
  <r>
    <n v="304"/>
    <n v="16"/>
    <n v="20"/>
    <n v="10"/>
    <x v="284"/>
    <n v="3"/>
    <x v="9"/>
    <x v="1"/>
    <x v="1"/>
    <n v="9"/>
    <n v="2026"/>
    <x v="10"/>
    <n v="15"/>
    <x v="1"/>
    <s v="Weekend"/>
    <x v="4"/>
    <x v="3"/>
  </r>
  <r>
    <n v="305"/>
    <n v="7"/>
    <n v="2"/>
    <n v="5"/>
    <x v="285"/>
    <n v="1"/>
    <x v="1"/>
    <x v="1"/>
    <x v="1"/>
    <n v="9"/>
    <n v="2026"/>
    <x v="8"/>
    <n v="23"/>
    <x v="3"/>
    <s v="weekday"/>
    <x v="8"/>
    <x v="8"/>
  </r>
  <r>
    <n v="306"/>
    <n v="1"/>
    <n v="10"/>
    <n v="8"/>
    <x v="286"/>
    <n v="1"/>
    <x v="15"/>
    <x v="1"/>
    <x v="2"/>
    <n v="10"/>
    <n v="2026"/>
    <x v="0"/>
    <n v="22"/>
    <x v="2"/>
    <s v="Weekend"/>
    <x v="1"/>
    <x v="7"/>
  </r>
  <r>
    <n v="307"/>
    <n v="5"/>
    <n v="6"/>
    <n v="6"/>
    <x v="287"/>
    <n v="2"/>
    <x v="3"/>
    <x v="1"/>
    <x v="1"/>
    <n v="9"/>
    <n v="2026"/>
    <x v="3"/>
    <n v="14"/>
    <x v="2"/>
    <s v="Weekend"/>
    <x v="13"/>
    <x v="0"/>
  </r>
  <r>
    <n v="308"/>
    <n v="15"/>
    <n v="3"/>
    <n v="8"/>
    <x v="124"/>
    <n v="3"/>
    <x v="8"/>
    <x v="1"/>
    <x v="2"/>
    <n v="8"/>
    <n v="2026"/>
    <x v="5"/>
    <n v="17"/>
    <x v="4"/>
    <s v="weekday"/>
    <x v="0"/>
    <x v="7"/>
  </r>
  <r>
    <n v="309"/>
    <n v="2"/>
    <n v="1"/>
    <n v="5"/>
    <x v="288"/>
    <n v="5"/>
    <x v="11"/>
    <x v="1"/>
    <x v="1"/>
    <n v="8"/>
    <n v="2026"/>
    <x v="3"/>
    <n v="14"/>
    <x v="4"/>
    <s v="weekday"/>
    <x v="6"/>
    <x v="8"/>
  </r>
  <r>
    <n v="310"/>
    <n v="4"/>
    <n v="10"/>
    <n v="9"/>
    <x v="289"/>
    <n v="4"/>
    <x v="4"/>
    <x v="0"/>
    <x v="1"/>
    <n v="8"/>
    <n v="2026"/>
    <x v="2"/>
    <n v="17"/>
    <x v="6"/>
    <s v="weekday"/>
    <x v="1"/>
    <x v="2"/>
  </r>
  <r>
    <n v="311"/>
    <n v="11"/>
    <n v="14"/>
    <n v="4"/>
    <x v="38"/>
    <n v="5"/>
    <x v="11"/>
    <x v="1"/>
    <x v="0"/>
    <n v="8"/>
    <n v="2026"/>
    <x v="11"/>
    <n v="15"/>
    <x v="6"/>
    <s v="weekday"/>
    <x v="2"/>
    <x v="1"/>
  </r>
  <r>
    <n v="312"/>
    <n v="11"/>
    <n v="6"/>
    <n v="6"/>
    <x v="290"/>
    <n v="1"/>
    <x v="7"/>
    <x v="1"/>
    <x v="1"/>
    <n v="8"/>
    <n v="2026"/>
    <x v="7"/>
    <n v="18"/>
    <x v="3"/>
    <s v="weekday"/>
    <x v="13"/>
    <x v="0"/>
  </r>
  <r>
    <n v="313"/>
    <n v="5"/>
    <n v="20"/>
    <n v="5"/>
    <x v="291"/>
    <n v="5"/>
    <x v="6"/>
    <x v="1"/>
    <x v="2"/>
    <n v="9"/>
    <n v="2026"/>
    <x v="2"/>
    <n v="21"/>
    <x v="4"/>
    <s v="weekday"/>
    <x v="4"/>
    <x v="8"/>
  </r>
  <r>
    <n v="314"/>
    <n v="5"/>
    <n v="12"/>
    <n v="4"/>
    <x v="292"/>
    <n v="3"/>
    <x v="8"/>
    <x v="1"/>
    <x v="2"/>
    <n v="8"/>
    <n v="2026"/>
    <x v="4"/>
    <n v="18"/>
    <x v="5"/>
    <s v="weekday"/>
    <x v="17"/>
    <x v="1"/>
  </r>
  <r>
    <n v="315"/>
    <n v="17"/>
    <n v="14"/>
    <n v="8"/>
    <x v="293"/>
    <n v="6"/>
    <x v="5"/>
    <x v="1"/>
    <x v="1"/>
    <n v="8"/>
    <n v="2026"/>
    <x v="5"/>
    <n v="18"/>
    <x v="4"/>
    <s v="weekday"/>
    <x v="2"/>
    <x v="7"/>
  </r>
  <r>
    <n v="316"/>
    <n v="18"/>
    <n v="14"/>
    <n v="6"/>
    <x v="294"/>
    <n v="3"/>
    <x v="9"/>
    <x v="1"/>
    <x v="1"/>
    <n v="9"/>
    <n v="2026"/>
    <x v="10"/>
    <n v="21"/>
    <x v="6"/>
    <s v="weekday"/>
    <x v="2"/>
    <x v="0"/>
  </r>
  <r>
    <n v="317"/>
    <n v="18"/>
    <n v="9"/>
    <n v="1"/>
    <x v="295"/>
    <n v="4"/>
    <x v="4"/>
    <x v="1"/>
    <x v="1"/>
    <n v="8"/>
    <n v="2026"/>
    <x v="11"/>
    <n v="14"/>
    <x v="0"/>
    <s v="weekday"/>
    <x v="10"/>
    <x v="5"/>
  </r>
  <r>
    <n v="318"/>
    <n v="18"/>
    <n v="3"/>
    <n v="5"/>
    <x v="296"/>
    <n v="6"/>
    <x v="0"/>
    <x v="0"/>
    <x v="1"/>
    <n v="9"/>
    <n v="2026"/>
    <x v="11"/>
    <n v="23"/>
    <x v="0"/>
    <s v="weekday"/>
    <x v="0"/>
    <x v="8"/>
  </r>
  <r>
    <n v="319"/>
    <n v="14"/>
    <n v="4"/>
    <n v="5"/>
    <x v="297"/>
    <n v="2"/>
    <x v="13"/>
    <x v="1"/>
    <x v="1"/>
    <n v="10"/>
    <n v="2026"/>
    <x v="1"/>
    <n v="23"/>
    <x v="2"/>
    <s v="Weekend"/>
    <x v="15"/>
    <x v="8"/>
  </r>
  <r>
    <n v="320"/>
    <n v="20"/>
    <n v="16"/>
    <n v="8"/>
    <x v="298"/>
    <n v="4"/>
    <x v="2"/>
    <x v="1"/>
    <x v="0"/>
    <n v="9"/>
    <n v="2026"/>
    <x v="3"/>
    <n v="23"/>
    <x v="6"/>
    <s v="weekday"/>
    <x v="12"/>
    <x v="7"/>
  </r>
  <r>
    <n v="321"/>
    <n v="7"/>
    <n v="20"/>
    <n v="4"/>
    <x v="299"/>
    <n v="4"/>
    <x v="4"/>
    <x v="1"/>
    <x v="0"/>
    <n v="8"/>
    <n v="2026"/>
    <x v="10"/>
    <n v="18"/>
    <x v="4"/>
    <s v="weekday"/>
    <x v="4"/>
    <x v="1"/>
  </r>
  <r>
    <n v="322"/>
    <n v="18"/>
    <n v="20"/>
    <n v="10"/>
    <x v="300"/>
    <n v="3"/>
    <x v="8"/>
    <x v="1"/>
    <x v="2"/>
    <n v="8"/>
    <n v="2026"/>
    <x v="10"/>
    <n v="18"/>
    <x v="6"/>
    <s v="weekday"/>
    <x v="4"/>
    <x v="3"/>
  </r>
  <r>
    <n v="323"/>
    <n v="2"/>
    <n v="10"/>
    <n v="6"/>
    <x v="301"/>
    <n v="3"/>
    <x v="9"/>
    <x v="1"/>
    <x v="0"/>
    <n v="9"/>
    <n v="2026"/>
    <x v="3"/>
    <n v="20"/>
    <x v="2"/>
    <s v="Weekend"/>
    <x v="1"/>
    <x v="0"/>
  </r>
  <r>
    <n v="324"/>
    <n v="17"/>
    <n v="13"/>
    <n v="9"/>
    <x v="302"/>
    <n v="2"/>
    <x v="3"/>
    <x v="1"/>
    <x v="2"/>
    <n v="9"/>
    <n v="2026"/>
    <x v="9"/>
    <n v="23"/>
    <x v="5"/>
    <s v="weekday"/>
    <x v="11"/>
    <x v="2"/>
  </r>
  <r>
    <n v="325"/>
    <n v="3"/>
    <n v="14"/>
    <n v="5"/>
    <x v="303"/>
    <n v="2"/>
    <x v="12"/>
    <x v="1"/>
    <x v="0"/>
    <n v="8"/>
    <n v="2026"/>
    <x v="10"/>
    <n v="15"/>
    <x v="5"/>
    <s v="weekday"/>
    <x v="2"/>
    <x v="8"/>
  </r>
  <r>
    <n v="326"/>
    <n v="15"/>
    <n v="8"/>
    <n v="4"/>
    <x v="304"/>
    <n v="5"/>
    <x v="16"/>
    <x v="1"/>
    <x v="1"/>
    <n v="10"/>
    <n v="2026"/>
    <x v="1"/>
    <n v="22"/>
    <x v="1"/>
    <s v="Weekend"/>
    <x v="7"/>
    <x v="1"/>
  </r>
  <r>
    <n v="327"/>
    <n v="10"/>
    <n v="12"/>
    <n v="5"/>
    <x v="305"/>
    <n v="4"/>
    <x v="4"/>
    <x v="1"/>
    <x v="2"/>
    <n v="8"/>
    <n v="2026"/>
    <x v="5"/>
    <n v="14"/>
    <x v="0"/>
    <s v="weekday"/>
    <x v="17"/>
    <x v="8"/>
  </r>
  <r>
    <n v="328"/>
    <n v="5"/>
    <n v="5"/>
    <n v="4"/>
    <x v="306"/>
    <n v="6"/>
    <x v="0"/>
    <x v="1"/>
    <x v="0"/>
    <n v="9"/>
    <n v="2026"/>
    <x v="4"/>
    <n v="15"/>
    <x v="1"/>
    <s v="Weekend"/>
    <x v="14"/>
    <x v="1"/>
  </r>
  <r>
    <n v="329"/>
    <n v="15"/>
    <n v="2"/>
    <n v="9"/>
    <x v="307"/>
    <n v="3"/>
    <x v="9"/>
    <x v="1"/>
    <x v="0"/>
    <n v="9"/>
    <n v="2026"/>
    <x v="6"/>
    <n v="18"/>
    <x v="1"/>
    <s v="Weekend"/>
    <x v="8"/>
    <x v="2"/>
  </r>
  <r>
    <n v="330"/>
    <n v="16"/>
    <n v="9"/>
    <n v="10"/>
    <x v="308"/>
    <n v="2"/>
    <x v="3"/>
    <x v="1"/>
    <x v="0"/>
    <n v="9"/>
    <n v="2026"/>
    <x v="7"/>
    <n v="23"/>
    <x v="6"/>
    <s v="weekday"/>
    <x v="10"/>
    <x v="3"/>
  </r>
  <r>
    <n v="331"/>
    <n v="3"/>
    <n v="12"/>
    <n v="4"/>
    <x v="309"/>
    <n v="5"/>
    <x v="6"/>
    <x v="1"/>
    <x v="0"/>
    <n v="9"/>
    <n v="2026"/>
    <x v="0"/>
    <n v="23"/>
    <x v="4"/>
    <s v="weekday"/>
    <x v="17"/>
    <x v="1"/>
  </r>
  <r>
    <n v="332"/>
    <n v="4"/>
    <n v="9"/>
    <n v="7"/>
    <x v="310"/>
    <n v="4"/>
    <x v="2"/>
    <x v="1"/>
    <x v="0"/>
    <n v="9"/>
    <n v="2026"/>
    <x v="0"/>
    <n v="15"/>
    <x v="2"/>
    <s v="Weekend"/>
    <x v="10"/>
    <x v="4"/>
  </r>
  <r>
    <n v="333"/>
    <n v="11"/>
    <n v="16"/>
    <n v="7"/>
    <x v="311"/>
    <n v="1"/>
    <x v="1"/>
    <x v="1"/>
    <x v="0"/>
    <n v="9"/>
    <n v="2026"/>
    <x v="11"/>
    <n v="17"/>
    <x v="2"/>
    <s v="Weekend"/>
    <x v="12"/>
    <x v="4"/>
  </r>
  <r>
    <n v="334"/>
    <n v="14"/>
    <n v="7"/>
    <n v="8"/>
    <x v="312"/>
    <n v="4"/>
    <x v="4"/>
    <x v="1"/>
    <x v="0"/>
    <n v="8"/>
    <n v="2026"/>
    <x v="2"/>
    <n v="14"/>
    <x v="3"/>
    <s v="weekday"/>
    <x v="3"/>
    <x v="7"/>
  </r>
  <r>
    <n v="335"/>
    <n v="9"/>
    <n v="3"/>
    <n v="8"/>
    <x v="313"/>
    <n v="4"/>
    <x v="2"/>
    <x v="1"/>
    <x v="2"/>
    <n v="9"/>
    <n v="2026"/>
    <x v="9"/>
    <n v="14"/>
    <x v="2"/>
    <s v="Weekend"/>
    <x v="0"/>
    <x v="7"/>
  </r>
  <r>
    <n v="336"/>
    <n v="18"/>
    <n v="15"/>
    <n v="5"/>
    <x v="314"/>
    <n v="3"/>
    <x v="8"/>
    <x v="1"/>
    <x v="2"/>
    <n v="8"/>
    <n v="2026"/>
    <x v="2"/>
    <n v="18"/>
    <x v="3"/>
    <s v="weekday"/>
    <x v="5"/>
    <x v="8"/>
  </r>
  <r>
    <n v="337"/>
    <n v="19"/>
    <n v="8"/>
    <n v="6"/>
    <x v="315"/>
    <n v="6"/>
    <x v="5"/>
    <x v="1"/>
    <x v="0"/>
    <n v="8"/>
    <n v="2026"/>
    <x v="3"/>
    <n v="19"/>
    <x v="6"/>
    <s v="weekday"/>
    <x v="7"/>
    <x v="0"/>
  </r>
  <r>
    <n v="338"/>
    <n v="19"/>
    <n v="12"/>
    <n v="2"/>
    <x v="316"/>
    <n v="2"/>
    <x v="12"/>
    <x v="1"/>
    <x v="2"/>
    <n v="8"/>
    <n v="2026"/>
    <x v="0"/>
    <n v="14"/>
    <x v="5"/>
    <s v="weekday"/>
    <x v="17"/>
    <x v="9"/>
  </r>
  <r>
    <n v="339"/>
    <n v="10"/>
    <n v="5"/>
    <n v="8"/>
    <x v="317"/>
    <n v="2"/>
    <x v="3"/>
    <x v="0"/>
    <x v="1"/>
    <n v="9"/>
    <n v="2026"/>
    <x v="8"/>
    <n v="23"/>
    <x v="4"/>
    <s v="weekday"/>
    <x v="14"/>
    <x v="7"/>
  </r>
  <r>
    <n v="340"/>
    <n v="10"/>
    <n v="7"/>
    <n v="3"/>
    <x v="318"/>
    <n v="5"/>
    <x v="11"/>
    <x v="1"/>
    <x v="2"/>
    <n v="8"/>
    <n v="2026"/>
    <x v="6"/>
    <n v="14"/>
    <x v="4"/>
    <s v="weekday"/>
    <x v="3"/>
    <x v="6"/>
  </r>
  <r>
    <n v="341"/>
    <n v="5"/>
    <n v="19"/>
    <n v="4"/>
    <x v="319"/>
    <n v="1"/>
    <x v="7"/>
    <x v="1"/>
    <x v="0"/>
    <n v="8"/>
    <n v="2026"/>
    <x v="0"/>
    <n v="19"/>
    <x v="3"/>
    <s v="weekday"/>
    <x v="18"/>
    <x v="1"/>
  </r>
  <r>
    <n v="342"/>
    <n v="15"/>
    <n v="12"/>
    <n v="8"/>
    <x v="320"/>
    <n v="6"/>
    <x v="5"/>
    <x v="1"/>
    <x v="0"/>
    <n v="8"/>
    <n v="2026"/>
    <x v="11"/>
    <n v="15"/>
    <x v="3"/>
    <s v="weekday"/>
    <x v="17"/>
    <x v="7"/>
  </r>
  <r>
    <n v="343"/>
    <n v="18"/>
    <n v="5"/>
    <n v="5"/>
    <x v="321"/>
    <n v="4"/>
    <x v="11"/>
    <x v="1"/>
    <x v="1"/>
    <n v="10"/>
    <n v="2026"/>
    <x v="4"/>
    <n v="21"/>
    <x v="2"/>
    <s v="Weekend"/>
    <x v="14"/>
    <x v="8"/>
  </r>
  <r>
    <n v="344"/>
    <n v="3"/>
    <n v="11"/>
    <n v="6"/>
    <x v="322"/>
    <n v="3"/>
    <x v="10"/>
    <x v="1"/>
    <x v="1"/>
    <n v="10"/>
    <n v="2026"/>
    <x v="5"/>
    <n v="22"/>
    <x v="1"/>
    <s v="Weekend"/>
    <x v="19"/>
    <x v="0"/>
  </r>
  <r>
    <n v="345"/>
    <n v="16"/>
    <n v="2"/>
    <n v="8"/>
    <x v="155"/>
    <n v="4"/>
    <x v="4"/>
    <x v="1"/>
    <x v="2"/>
    <n v="8"/>
    <n v="2026"/>
    <x v="0"/>
    <n v="14"/>
    <x v="5"/>
    <s v="weekday"/>
    <x v="8"/>
    <x v="7"/>
  </r>
  <r>
    <n v="346"/>
    <n v="7"/>
    <n v="14"/>
    <n v="6"/>
    <x v="323"/>
    <n v="2"/>
    <x v="13"/>
    <x v="1"/>
    <x v="0"/>
    <n v="10"/>
    <n v="2026"/>
    <x v="5"/>
    <n v="22"/>
    <x v="2"/>
    <s v="Weekend"/>
    <x v="2"/>
    <x v="0"/>
  </r>
  <r>
    <n v="347"/>
    <n v="10"/>
    <n v="8"/>
    <n v="1"/>
    <x v="324"/>
    <n v="2"/>
    <x v="3"/>
    <x v="1"/>
    <x v="2"/>
    <n v="9"/>
    <n v="2026"/>
    <x v="4"/>
    <n v="18"/>
    <x v="1"/>
    <s v="Weekend"/>
    <x v="7"/>
    <x v="5"/>
  </r>
  <r>
    <n v="348"/>
    <n v="16"/>
    <n v="9"/>
    <n v="2"/>
    <x v="325"/>
    <n v="3"/>
    <x v="8"/>
    <x v="1"/>
    <x v="1"/>
    <n v="8"/>
    <n v="2026"/>
    <x v="3"/>
    <n v="19"/>
    <x v="6"/>
    <s v="weekday"/>
    <x v="10"/>
    <x v="9"/>
  </r>
  <r>
    <n v="349"/>
    <n v="20"/>
    <n v="3"/>
    <n v="8"/>
    <x v="326"/>
    <n v="6"/>
    <x v="14"/>
    <x v="1"/>
    <x v="2"/>
    <n v="10"/>
    <n v="2026"/>
    <x v="7"/>
    <n v="23"/>
    <x v="2"/>
    <s v="Weekend"/>
    <x v="0"/>
    <x v="7"/>
  </r>
  <r>
    <n v="350"/>
    <n v="3"/>
    <n v="12"/>
    <n v="6"/>
    <x v="327"/>
    <n v="6"/>
    <x v="0"/>
    <x v="1"/>
    <x v="2"/>
    <n v="9"/>
    <n v="2026"/>
    <x v="7"/>
    <n v="18"/>
    <x v="1"/>
    <s v="Weekend"/>
    <x v="17"/>
    <x v="0"/>
  </r>
  <r>
    <n v="351"/>
    <n v="13"/>
    <n v="17"/>
    <n v="2"/>
    <x v="128"/>
    <n v="6"/>
    <x v="0"/>
    <x v="1"/>
    <x v="1"/>
    <n v="9"/>
    <n v="2026"/>
    <x v="6"/>
    <n v="14"/>
    <x v="2"/>
    <s v="Weekend"/>
    <x v="16"/>
    <x v="9"/>
  </r>
  <r>
    <n v="352"/>
    <n v="7"/>
    <n v="9"/>
    <n v="8"/>
    <x v="328"/>
    <n v="3"/>
    <x v="8"/>
    <x v="0"/>
    <x v="1"/>
    <n v="8"/>
    <n v="2026"/>
    <x v="2"/>
    <n v="18"/>
    <x v="4"/>
    <s v="weekday"/>
    <x v="10"/>
    <x v="7"/>
  </r>
  <r>
    <n v="353"/>
    <n v="14"/>
    <n v="2"/>
    <n v="5"/>
    <x v="329"/>
    <n v="3"/>
    <x v="8"/>
    <x v="1"/>
    <x v="0"/>
    <n v="8"/>
    <n v="2026"/>
    <x v="11"/>
    <n v="17"/>
    <x v="3"/>
    <s v="weekday"/>
    <x v="8"/>
    <x v="8"/>
  </r>
  <r>
    <n v="354"/>
    <n v="1"/>
    <n v="12"/>
    <n v="4"/>
    <x v="330"/>
    <n v="6"/>
    <x v="14"/>
    <x v="1"/>
    <x v="1"/>
    <n v="10"/>
    <n v="2026"/>
    <x v="3"/>
    <n v="22"/>
    <x v="2"/>
    <s v="Weekend"/>
    <x v="17"/>
    <x v="1"/>
  </r>
  <r>
    <n v="355"/>
    <n v="6"/>
    <n v="6"/>
    <n v="9"/>
    <x v="331"/>
    <n v="4"/>
    <x v="4"/>
    <x v="1"/>
    <x v="0"/>
    <n v="8"/>
    <n v="2026"/>
    <x v="3"/>
    <n v="15"/>
    <x v="3"/>
    <s v="weekday"/>
    <x v="13"/>
    <x v="2"/>
  </r>
  <r>
    <n v="356"/>
    <n v="12"/>
    <n v="6"/>
    <n v="4"/>
    <x v="332"/>
    <n v="6"/>
    <x v="14"/>
    <x v="0"/>
    <x v="2"/>
    <n v="10"/>
    <n v="2026"/>
    <x v="1"/>
    <n v="22"/>
    <x v="1"/>
    <s v="Weekend"/>
    <x v="13"/>
    <x v="1"/>
  </r>
  <r>
    <n v="357"/>
    <n v="3"/>
    <n v="3"/>
    <n v="7"/>
    <x v="333"/>
    <n v="2"/>
    <x v="3"/>
    <x v="1"/>
    <x v="2"/>
    <n v="9"/>
    <n v="2026"/>
    <x v="3"/>
    <n v="16"/>
    <x v="1"/>
    <s v="Weekend"/>
    <x v="0"/>
    <x v="4"/>
  </r>
  <r>
    <n v="358"/>
    <n v="18"/>
    <n v="4"/>
    <n v="9"/>
    <x v="334"/>
    <n v="5"/>
    <x v="11"/>
    <x v="1"/>
    <x v="0"/>
    <n v="8"/>
    <n v="2026"/>
    <x v="2"/>
    <n v="14"/>
    <x v="0"/>
    <s v="weekday"/>
    <x v="15"/>
    <x v="2"/>
  </r>
  <r>
    <n v="359"/>
    <n v="13"/>
    <n v="6"/>
    <n v="6"/>
    <x v="335"/>
    <n v="3"/>
    <x v="9"/>
    <x v="1"/>
    <x v="0"/>
    <n v="9"/>
    <n v="2026"/>
    <x v="11"/>
    <n v="22"/>
    <x v="5"/>
    <s v="weekday"/>
    <x v="13"/>
    <x v="0"/>
  </r>
  <r>
    <n v="360"/>
    <n v="19"/>
    <n v="3"/>
    <n v="4"/>
    <x v="336"/>
    <n v="2"/>
    <x v="12"/>
    <x v="1"/>
    <x v="1"/>
    <n v="8"/>
    <n v="2026"/>
    <x v="4"/>
    <n v="18"/>
    <x v="5"/>
    <s v="weekday"/>
    <x v="0"/>
    <x v="1"/>
  </r>
  <r>
    <n v="361"/>
    <n v="1"/>
    <n v="3"/>
    <n v="5"/>
    <x v="337"/>
    <n v="4"/>
    <x v="4"/>
    <x v="1"/>
    <x v="0"/>
    <n v="8"/>
    <n v="2026"/>
    <x v="7"/>
    <n v="14"/>
    <x v="6"/>
    <s v="weekday"/>
    <x v="0"/>
    <x v="8"/>
  </r>
  <r>
    <n v="362"/>
    <n v="12"/>
    <n v="8"/>
    <n v="1"/>
    <x v="338"/>
    <n v="2"/>
    <x v="12"/>
    <x v="1"/>
    <x v="0"/>
    <n v="8"/>
    <n v="2026"/>
    <x v="2"/>
    <n v="18"/>
    <x v="3"/>
    <s v="weekday"/>
    <x v="7"/>
    <x v="5"/>
  </r>
  <r>
    <n v="363"/>
    <n v="1"/>
    <n v="10"/>
    <n v="7"/>
    <x v="339"/>
    <n v="2"/>
    <x v="12"/>
    <x v="1"/>
    <x v="1"/>
    <n v="8"/>
    <n v="2026"/>
    <x v="8"/>
    <n v="14"/>
    <x v="6"/>
    <s v="weekday"/>
    <x v="1"/>
    <x v="4"/>
  </r>
  <r>
    <n v="364"/>
    <n v="20"/>
    <n v="3"/>
    <n v="2"/>
    <x v="340"/>
    <n v="4"/>
    <x v="4"/>
    <x v="1"/>
    <x v="0"/>
    <n v="8"/>
    <n v="2026"/>
    <x v="2"/>
    <n v="17"/>
    <x v="6"/>
    <s v="weekday"/>
    <x v="0"/>
    <x v="9"/>
  </r>
  <r>
    <n v="365"/>
    <n v="19"/>
    <n v="1"/>
    <n v="5"/>
    <x v="341"/>
    <n v="6"/>
    <x v="0"/>
    <x v="1"/>
    <x v="2"/>
    <n v="9"/>
    <n v="2026"/>
    <x v="1"/>
    <n v="14"/>
    <x v="1"/>
    <s v="Weekend"/>
    <x v="6"/>
    <x v="8"/>
  </r>
  <r>
    <n v="366"/>
    <n v="11"/>
    <n v="7"/>
    <n v="3"/>
    <x v="342"/>
    <n v="5"/>
    <x v="11"/>
    <x v="1"/>
    <x v="2"/>
    <n v="8"/>
    <n v="2026"/>
    <x v="4"/>
    <n v="20"/>
    <x v="0"/>
    <s v="weekday"/>
    <x v="3"/>
    <x v="6"/>
  </r>
  <r>
    <n v="367"/>
    <n v="10"/>
    <n v="7"/>
    <n v="9"/>
    <x v="343"/>
    <n v="4"/>
    <x v="4"/>
    <x v="1"/>
    <x v="2"/>
    <n v="8"/>
    <n v="2026"/>
    <x v="3"/>
    <n v="17"/>
    <x v="0"/>
    <s v="weekday"/>
    <x v="3"/>
    <x v="2"/>
  </r>
  <r>
    <n v="368"/>
    <n v="19"/>
    <n v="11"/>
    <n v="3"/>
    <x v="344"/>
    <n v="1"/>
    <x v="7"/>
    <x v="1"/>
    <x v="1"/>
    <n v="8"/>
    <n v="2026"/>
    <x v="1"/>
    <n v="16"/>
    <x v="4"/>
    <s v="weekday"/>
    <x v="19"/>
    <x v="6"/>
  </r>
  <r>
    <n v="369"/>
    <n v="14"/>
    <n v="9"/>
    <n v="9"/>
    <x v="345"/>
    <n v="1"/>
    <x v="7"/>
    <x v="1"/>
    <x v="1"/>
    <n v="8"/>
    <n v="2026"/>
    <x v="6"/>
    <n v="17"/>
    <x v="3"/>
    <s v="weekday"/>
    <x v="10"/>
    <x v="2"/>
  </r>
  <r>
    <n v="370"/>
    <n v="20"/>
    <n v="17"/>
    <n v="7"/>
    <x v="346"/>
    <n v="3"/>
    <x v="8"/>
    <x v="1"/>
    <x v="0"/>
    <n v="8"/>
    <n v="2026"/>
    <x v="4"/>
    <n v="15"/>
    <x v="5"/>
    <s v="weekday"/>
    <x v="16"/>
    <x v="4"/>
  </r>
  <r>
    <n v="371"/>
    <n v="20"/>
    <n v="1"/>
    <n v="2"/>
    <x v="347"/>
    <n v="5"/>
    <x v="11"/>
    <x v="1"/>
    <x v="2"/>
    <n v="8"/>
    <n v="2026"/>
    <x v="5"/>
    <n v="18"/>
    <x v="5"/>
    <s v="weekday"/>
    <x v="6"/>
    <x v="9"/>
  </r>
  <r>
    <n v="372"/>
    <n v="3"/>
    <n v="18"/>
    <n v="9"/>
    <x v="348"/>
    <n v="6"/>
    <x v="5"/>
    <x v="1"/>
    <x v="1"/>
    <n v="8"/>
    <n v="2026"/>
    <x v="9"/>
    <n v="17"/>
    <x v="4"/>
    <s v="weekday"/>
    <x v="9"/>
    <x v="2"/>
  </r>
  <r>
    <n v="373"/>
    <n v="11"/>
    <n v="13"/>
    <n v="10"/>
    <x v="349"/>
    <n v="5"/>
    <x v="6"/>
    <x v="1"/>
    <x v="2"/>
    <n v="9"/>
    <n v="2026"/>
    <x v="4"/>
    <n v="19"/>
    <x v="2"/>
    <s v="Weekend"/>
    <x v="11"/>
    <x v="3"/>
  </r>
  <r>
    <n v="374"/>
    <n v="13"/>
    <n v="12"/>
    <n v="6"/>
    <x v="350"/>
    <n v="3"/>
    <x v="9"/>
    <x v="1"/>
    <x v="2"/>
    <n v="9"/>
    <n v="2026"/>
    <x v="5"/>
    <n v="23"/>
    <x v="0"/>
    <s v="weekday"/>
    <x v="17"/>
    <x v="0"/>
  </r>
  <r>
    <n v="375"/>
    <n v="3"/>
    <n v="8"/>
    <n v="4"/>
    <x v="351"/>
    <n v="2"/>
    <x v="13"/>
    <x v="1"/>
    <x v="2"/>
    <n v="10"/>
    <n v="2026"/>
    <x v="6"/>
    <n v="22"/>
    <x v="2"/>
    <s v="Weekend"/>
    <x v="7"/>
    <x v="1"/>
  </r>
  <r>
    <n v="376"/>
    <n v="20"/>
    <n v="14"/>
    <n v="3"/>
    <x v="352"/>
    <n v="2"/>
    <x v="12"/>
    <x v="1"/>
    <x v="0"/>
    <n v="8"/>
    <n v="2026"/>
    <x v="11"/>
    <n v="15"/>
    <x v="6"/>
    <s v="weekday"/>
    <x v="2"/>
    <x v="6"/>
  </r>
  <r>
    <n v="377"/>
    <n v="13"/>
    <n v="8"/>
    <n v="3"/>
    <x v="353"/>
    <n v="6"/>
    <x v="0"/>
    <x v="1"/>
    <x v="0"/>
    <n v="9"/>
    <n v="2026"/>
    <x v="6"/>
    <n v="17"/>
    <x v="2"/>
    <s v="Weekend"/>
    <x v="7"/>
    <x v="6"/>
  </r>
  <r>
    <n v="378"/>
    <n v="11"/>
    <n v="5"/>
    <n v="8"/>
    <x v="354"/>
    <n v="4"/>
    <x v="2"/>
    <x v="0"/>
    <x v="2"/>
    <n v="9"/>
    <n v="2026"/>
    <x v="8"/>
    <n v="20"/>
    <x v="2"/>
    <s v="Weekend"/>
    <x v="14"/>
    <x v="7"/>
  </r>
  <r>
    <n v="379"/>
    <n v="14"/>
    <n v="15"/>
    <n v="1"/>
    <x v="355"/>
    <n v="6"/>
    <x v="5"/>
    <x v="1"/>
    <x v="2"/>
    <n v="8"/>
    <n v="2026"/>
    <x v="10"/>
    <n v="17"/>
    <x v="5"/>
    <s v="weekday"/>
    <x v="5"/>
    <x v="5"/>
  </r>
  <r>
    <n v="380"/>
    <n v="2"/>
    <n v="5"/>
    <n v="5"/>
    <x v="356"/>
    <n v="2"/>
    <x v="12"/>
    <x v="1"/>
    <x v="1"/>
    <n v="8"/>
    <n v="2026"/>
    <x v="8"/>
    <n v="20"/>
    <x v="4"/>
    <s v="weekday"/>
    <x v="14"/>
    <x v="8"/>
  </r>
  <r>
    <n v="381"/>
    <n v="3"/>
    <n v="5"/>
    <n v="10"/>
    <x v="357"/>
    <n v="1"/>
    <x v="1"/>
    <x v="1"/>
    <x v="2"/>
    <n v="9"/>
    <n v="2026"/>
    <x v="3"/>
    <n v="22"/>
    <x v="0"/>
    <s v="weekday"/>
    <x v="14"/>
    <x v="3"/>
  </r>
  <r>
    <n v="382"/>
    <n v="13"/>
    <n v="3"/>
    <n v="10"/>
    <x v="358"/>
    <n v="1"/>
    <x v="1"/>
    <x v="1"/>
    <x v="0"/>
    <n v="9"/>
    <n v="2026"/>
    <x v="4"/>
    <n v="22"/>
    <x v="6"/>
    <s v="weekday"/>
    <x v="0"/>
    <x v="3"/>
  </r>
  <r>
    <n v="383"/>
    <n v="7"/>
    <n v="15"/>
    <n v="9"/>
    <x v="359"/>
    <n v="1"/>
    <x v="7"/>
    <x v="1"/>
    <x v="0"/>
    <n v="8"/>
    <n v="2026"/>
    <x v="11"/>
    <n v="16"/>
    <x v="3"/>
    <s v="weekday"/>
    <x v="5"/>
    <x v="2"/>
  </r>
  <r>
    <n v="384"/>
    <n v="12"/>
    <n v="6"/>
    <n v="10"/>
    <x v="360"/>
    <n v="1"/>
    <x v="1"/>
    <x v="1"/>
    <x v="2"/>
    <n v="9"/>
    <n v="2026"/>
    <x v="5"/>
    <n v="23"/>
    <x v="0"/>
    <s v="weekday"/>
    <x v="13"/>
    <x v="3"/>
  </r>
  <r>
    <n v="385"/>
    <n v="14"/>
    <n v="3"/>
    <n v="4"/>
    <x v="361"/>
    <n v="4"/>
    <x v="4"/>
    <x v="1"/>
    <x v="2"/>
    <n v="8"/>
    <n v="2026"/>
    <x v="9"/>
    <n v="20"/>
    <x v="5"/>
    <s v="weekday"/>
    <x v="0"/>
    <x v="1"/>
  </r>
  <r>
    <n v="386"/>
    <n v="13"/>
    <n v="2"/>
    <n v="9"/>
    <x v="362"/>
    <n v="1"/>
    <x v="1"/>
    <x v="1"/>
    <x v="2"/>
    <n v="9"/>
    <n v="2026"/>
    <x v="2"/>
    <n v="19"/>
    <x v="2"/>
    <s v="Weekend"/>
    <x v="8"/>
    <x v="2"/>
  </r>
  <r>
    <n v="387"/>
    <n v="5"/>
    <n v="19"/>
    <n v="7"/>
    <x v="363"/>
    <n v="3"/>
    <x v="9"/>
    <x v="1"/>
    <x v="1"/>
    <n v="9"/>
    <n v="2026"/>
    <x v="8"/>
    <n v="22"/>
    <x v="6"/>
    <s v="weekday"/>
    <x v="18"/>
    <x v="4"/>
  </r>
  <r>
    <n v="388"/>
    <n v="19"/>
    <n v="10"/>
    <n v="8"/>
    <x v="364"/>
    <n v="1"/>
    <x v="7"/>
    <x v="1"/>
    <x v="1"/>
    <n v="8"/>
    <n v="2026"/>
    <x v="0"/>
    <n v="17"/>
    <x v="3"/>
    <s v="weekday"/>
    <x v="1"/>
    <x v="7"/>
  </r>
  <r>
    <n v="389"/>
    <n v="20"/>
    <n v="10"/>
    <n v="2"/>
    <x v="365"/>
    <n v="2"/>
    <x v="12"/>
    <x v="1"/>
    <x v="1"/>
    <n v="8"/>
    <n v="2026"/>
    <x v="6"/>
    <n v="14"/>
    <x v="3"/>
    <s v="weekday"/>
    <x v="1"/>
    <x v="9"/>
  </r>
  <r>
    <n v="390"/>
    <n v="19"/>
    <n v="20"/>
    <n v="6"/>
    <x v="366"/>
    <n v="1"/>
    <x v="7"/>
    <x v="1"/>
    <x v="1"/>
    <n v="8"/>
    <n v="2026"/>
    <x v="4"/>
    <n v="15"/>
    <x v="3"/>
    <s v="weekday"/>
    <x v="4"/>
    <x v="0"/>
  </r>
  <r>
    <n v="391"/>
    <n v="9"/>
    <n v="20"/>
    <n v="8"/>
    <x v="367"/>
    <n v="4"/>
    <x v="4"/>
    <x v="1"/>
    <x v="2"/>
    <n v="8"/>
    <n v="2026"/>
    <x v="4"/>
    <n v="18"/>
    <x v="4"/>
    <s v="weekday"/>
    <x v="4"/>
    <x v="7"/>
  </r>
  <r>
    <n v="392"/>
    <n v="3"/>
    <n v="5"/>
    <n v="6"/>
    <x v="368"/>
    <n v="5"/>
    <x v="6"/>
    <x v="1"/>
    <x v="1"/>
    <n v="9"/>
    <n v="2026"/>
    <x v="2"/>
    <n v="17"/>
    <x v="1"/>
    <s v="Weekend"/>
    <x v="14"/>
    <x v="0"/>
  </r>
  <r>
    <n v="393"/>
    <n v="18"/>
    <n v="9"/>
    <n v="9"/>
    <x v="369"/>
    <n v="2"/>
    <x v="12"/>
    <x v="1"/>
    <x v="0"/>
    <n v="8"/>
    <n v="2026"/>
    <x v="0"/>
    <n v="18"/>
    <x v="4"/>
    <s v="weekday"/>
    <x v="10"/>
    <x v="2"/>
  </r>
  <r>
    <n v="394"/>
    <n v="16"/>
    <n v="13"/>
    <n v="6"/>
    <x v="370"/>
    <n v="1"/>
    <x v="15"/>
    <x v="1"/>
    <x v="1"/>
    <n v="10"/>
    <n v="2026"/>
    <x v="11"/>
    <n v="21"/>
    <x v="2"/>
    <s v="Weekend"/>
    <x v="11"/>
    <x v="0"/>
  </r>
  <r>
    <n v="395"/>
    <n v="4"/>
    <n v="10"/>
    <n v="2"/>
    <x v="371"/>
    <n v="2"/>
    <x v="12"/>
    <x v="1"/>
    <x v="2"/>
    <n v="8"/>
    <n v="2026"/>
    <x v="6"/>
    <n v="19"/>
    <x v="0"/>
    <s v="weekday"/>
    <x v="1"/>
    <x v="9"/>
  </r>
  <r>
    <n v="396"/>
    <n v="19"/>
    <n v="12"/>
    <n v="7"/>
    <x v="372"/>
    <n v="6"/>
    <x v="5"/>
    <x v="1"/>
    <x v="1"/>
    <n v="8"/>
    <n v="2026"/>
    <x v="5"/>
    <n v="16"/>
    <x v="5"/>
    <s v="weekday"/>
    <x v="17"/>
    <x v="4"/>
  </r>
  <r>
    <n v="397"/>
    <n v="7"/>
    <n v="4"/>
    <n v="2"/>
    <x v="373"/>
    <n v="1"/>
    <x v="1"/>
    <x v="1"/>
    <x v="1"/>
    <n v="9"/>
    <n v="2026"/>
    <x v="9"/>
    <n v="16"/>
    <x v="2"/>
    <s v="Weekend"/>
    <x v="15"/>
    <x v="9"/>
  </r>
  <r>
    <n v="398"/>
    <n v="18"/>
    <n v="3"/>
    <n v="3"/>
    <x v="374"/>
    <n v="5"/>
    <x v="6"/>
    <x v="1"/>
    <x v="1"/>
    <n v="9"/>
    <n v="2026"/>
    <x v="7"/>
    <n v="22"/>
    <x v="3"/>
    <s v="weekday"/>
    <x v="0"/>
    <x v="6"/>
  </r>
  <r>
    <n v="399"/>
    <n v="18"/>
    <n v="14"/>
    <n v="5"/>
    <x v="375"/>
    <n v="1"/>
    <x v="1"/>
    <x v="1"/>
    <x v="2"/>
    <n v="9"/>
    <n v="2026"/>
    <x v="0"/>
    <n v="19"/>
    <x v="2"/>
    <s v="Weekend"/>
    <x v="2"/>
    <x v="8"/>
  </r>
  <r>
    <n v="400"/>
    <n v="14"/>
    <n v="19"/>
    <n v="9"/>
    <x v="376"/>
    <n v="4"/>
    <x v="4"/>
    <x v="1"/>
    <x v="2"/>
    <n v="8"/>
    <n v="2026"/>
    <x v="9"/>
    <n v="20"/>
    <x v="6"/>
    <s v="weekday"/>
    <x v="18"/>
    <x v="2"/>
  </r>
  <r>
    <n v="401"/>
    <n v="3"/>
    <n v="1"/>
    <n v="9"/>
    <x v="377"/>
    <n v="6"/>
    <x v="0"/>
    <x v="1"/>
    <x v="2"/>
    <n v="9"/>
    <n v="2026"/>
    <x v="8"/>
    <n v="19"/>
    <x v="1"/>
    <s v="Weekend"/>
    <x v="6"/>
    <x v="2"/>
  </r>
  <r>
    <n v="402"/>
    <n v="8"/>
    <n v="16"/>
    <n v="2"/>
    <x v="378"/>
    <n v="2"/>
    <x v="12"/>
    <x v="1"/>
    <x v="1"/>
    <n v="8"/>
    <n v="2026"/>
    <x v="4"/>
    <n v="15"/>
    <x v="3"/>
    <s v="weekday"/>
    <x v="12"/>
    <x v="9"/>
  </r>
  <r>
    <n v="403"/>
    <n v="3"/>
    <n v="19"/>
    <n v="2"/>
    <x v="379"/>
    <n v="5"/>
    <x v="11"/>
    <x v="1"/>
    <x v="0"/>
    <n v="8"/>
    <n v="2026"/>
    <x v="10"/>
    <n v="17"/>
    <x v="4"/>
    <s v="weekday"/>
    <x v="18"/>
    <x v="9"/>
  </r>
  <r>
    <n v="404"/>
    <n v="15"/>
    <n v="8"/>
    <n v="3"/>
    <x v="380"/>
    <n v="1"/>
    <x v="15"/>
    <x v="1"/>
    <x v="0"/>
    <n v="10"/>
    <n v="2026"/>
    <x v="1"/>
    <n v="23"/>
    <x v="2"/>
    <s v="Weekend"/>
    <x v="7"/>
    <x v="6"/>
  </r>
  <r>
    <n v="405"/>
    <n v="12"/>
    <n v="13"/>
    <n v="7"/>
    <x v="381"/>
    <n v="6"/>
    <x v="0"/>
    <x v="1"/>
    <x v="2"/>
    <n v="9"/>
    <n v="2026"/>
    <x v="2"/>
    <n v="21"/>
    <x v="0"/>
    <s v="weekday"/>
    <x v="11"/>
    <x v="4"/>
  </r>
  <r>
    <n v="406"/>
    <n v="20"/>
    <n v="20"/>
    <n v="1"/>
    <x v="382"/>
    <n v="4"/>
    <x v="4"/>
    <x v="1"/>
    <x v="1"/>
    <n v="8"/>
    <n v="2026"/>
    <x v="3"/>
    <n v="19"/>
    <x v="6"/>
    <s v="weekday"/>
    <x v="4"/>
    <x v="5"/>
  </r>
  <r>
    <n v="407"/>
    <n v="12"/>
    <n v="20"/>
    <n v="8"/>
    <x v="383"/>
    <n v="3"/>
    <x v="8"/>
    <x v="1"/>
    <x v="1"/>
    <n v="8"/>
    <n v="2026"/>
    <x v="2"/>
    <n v="16"/>
    <x v="3"/>
    <s v="weekday"/>
    <x v="4"/>
    <x v="7"/>
  </r>
  <r>
    <n v="408"/>
    <n v="15"/>
    <n v="19"/>
    <n v="7"/>
    <x v="384"/>
    <n v="6"/>
    <x v="5"/>
    <x v="1"/>
    <x v="2"/>
    <n v="8"/>
    <n v="2026"/>
    <x v="2"/>
    <n v="20"/>
    <x v="5"/>
    <s v="weekday"/>
    <x v="18"/>
    <x v="4"/>
  </r>
  <r>
    <n v="409"/>
    <n v="11"/>
    <n v="13"/>
    <n v="1"/>
    <x v="385"/>
    <n v="5"/>
    <x v="6"/>
    <x v="1"/>
    <x v="0"/>
    <n v="9"/>
    <n v="2026"/>
    <x v="7"/>
    <n v="17"/>
    <x v="1"/>
    <s v="Weekend"/>
    <x v="11"/>
    <x v="5"/>
  </r>
  <r>
    <n v="410"/>
    <n v="11"/>
    <n v="19"/>
    <n v="9"/>
    <x v="386"/>
    <n v="6"/>
    <x v="0"/>
    <x v="1"/>
    <x v="2"/>
    <n v="9"/>
    <n v="2026"/>
    <x v="3"/>
    <n v="20"/>
    <x v="1"/>
    <s v="Weekend"/>
    <x v="18"/>
    <x v="2"/>
  </r>
  <r>
    <n v="411"/>
    <n v="5"/>
    <n v="13"/>
    <n v="8"/>
    <x v="387"/>
    <n v="1"/>
    <x v="7"/>
    <x v="1"/>
    <x v="0"/>
    <n v="8"/>
    <n v="2026"/>
    <x v="10"/>
    <n v="14"/>
    <x v="4"/>
    <s v="weekday"/>
    <x v="11"/>
    <x v="7"/>
  </r>
  <r>
    <n v="412"/>
    <n v="7"/>
    <n v="20"/>
    <n v="2"/>
    <x v="388"/>
    <n v="6"/>
    <x v="14"/>
    <x v="1"/>
    <x v="2"/>
    <n v="10"/>
    <n v="2026"/>
    <x v="8"/>
    <n v="22"/>
    <x v="1"/>
    <s v="Weekend"/>
    <x v="4"/>
    <x v="9"/>
  </r>
  <r>
    <n v="413"/>
    <n v="17"/>
    <n v="6"/>
    <n v="6"/>
    <x v="389"/>
    <n v="4"/>
    <x v="2"/>
    <x v="1"/>
    <x v="0"/>
    <n v="9"/>
    <n v="2026"/>
    <x v="2"/>
    <n v="16"/>
    <x v="2"/>
    <s v="Weekend"/>
    <x v="13"/>
    <x v="0"/>
  </r>
  <r>
    <n v="414"/>
    <n v="6"/>
    <n v="3"/>
    <n v="9"/>
    <x v="390"/>
    <n v="5"/>
    <x v="11"/>
    <x v="1"/>
    <x v="0"/>
    <n v="8"/>
    <n v="2026"/>
    <x v="6"/>
    <n v="19"/>
    <x v="6"/>
    <s v="weekday"/>
    <x v="0"/>
    <x v="2"/>
  </r>
  <r>
    <n v="415"/>
    <n v="16"/>
    <n v="10"/>
    <n v="10"/>
    <x v="391"/>
    <n v="4"/>
    <x v="4"/>
    <x v="1"/>
    <x v="1"/>
    <n v="8"/>
    <n v="2026"/>
    <x v="10"/>
    <n v="18"/>
    <x v="3"/>
    <s v="weekday"/>
    <x v="1"/>
    <x v="3"/>
  </r>
  <r>
    <n v="416"/>
    <n v="4"/>
    <n v="19"/>
    <n v="6"/>
    <x v="392"/>
    <n v="1"/>
    <x v="1"/>
    <x v="1"/>
    <x v="0"/>
    <n v="9"/>
    <n v="2026"/>
    <x v="10"/>
    <n v="19"/>
    <x v="1"/>
    <s v="Weekend"/>
    <x v="18"/>
    <x v="0"/>
  </r>
  <r>
    <n v="417"/>
    <n v="1"/>
    <n v="14"/>
    <n v="5"/>
    <x v="393"/>
    <n v="1"/>
    <x v="1"/>
    <x v="0"/>
    <x v="0"/>
    <n v="9"/>
    <n v="2026"/>
    <x v="9"/>
    <n v="14"/>
    <x v="1"/>
    <s v="Weekend"/>
    <x v="2"/>
    <x v="8"/>
  </r>
  <r>
    <n v="418"/>
    <n v="3"/>
    <n v="4"/>
    <n v="8"/>
    <x v="394"/>
    <n v="1"/>
    <x v="1"/>
    <x v="1"/>
    <x v="0"/>
    <n v="9"/>
    <n v="2026"/>
    <x v="1"/>
    <n v="16"/>
    <x v="2"/>
    <s v="Weekend"/>
    <x v="15"/>
    <x v="7"/>
  </r>
  <r>
    <n v="419"/>
    <n v="12"/>
    <n v="4"/>
    <n v="4"/>
    <x v="395"/>
    <n v="4"/>
    <x v="4"/>
    <x v="1"/>
    <x v="1"/>
    <n v="8"/>
    <n v="2026"/>
    <x v="7"/>
    <n v="16"/>
    <x v="0"/>
    <s v="weekday"/>
    <x v="15"/>
    <x v="1"/>
  </r>
  <r>
    <n v="420"/>
    <n v="17"/>
    <n v="11"/>
    <n v="10"/>
    <x v="396"/>
    <n v="4"/>
    <x v="4"/>
    <x v="1"/>
    <x v="0"/>
    <n v="8"/>
    <n v="2026"/>
    <x v="4"/>
    <n v="18"/>
    <x v="0"/>
    <s v="weekday"/>
    <x v="19"/>
    <x v="3"/>
  </r>
  <r>
    <n v="421"/>
    <n v="16"/>
    <n v="3"/>
    <n v="3"/>
    <x v="397"/>
    <n v="1"/>
    <x v="1"/>
    <x v="1"/>
    <x v="0"/>
    <n v="9"/>
    <n v="2026"/>
    <x v="5"/>
    <n v="23"/>
    <x v="0"/>
    <s v="weekday"/>
    <x v="0"/>
    <x v="6"/>
  </r>
  <r>
    <n v="422"/>
    <n v="20"/>
    <n v="11"/>
    <n v="4"/>
    <x v="398"/>
    <n v="6"/>
    <x v="0"/>
    <x v="1"/>
    <x v="0"/>
    <n v="9"/>
    <n v="2026"/>
    <x v="1"/>
    <n v="22"/>
    <x v="0"/>
    <s v="weekday"/>
    <x v="19"/>
    <x v="1"/>
  </r>
  <r>
    <n v="423"/>
    <n v="4"/>
    <n v="8"/>
    <n v="10"/>
    <x v="399"/>
    <n v="2"/>
    <x v="12"/>
    <x v="1"/>
    <x v="0"/>
    <n v="8"/>
    <n v="2026"/>
    <x v="5"/>
    <n v="16"/>
    <x v="5"/>
    <s v="weekday"/>
    <x v="7"/>
    <x v="3"/>
  </r>
  <r>
    <n v="424"/>
    <n v="10"/>
    <n v="5"/>
    <n v="5"/>
    <x v="400"/>
    <n v="3"/>
    <x v="8"/>
    <x v="1"/>
    <x v="2"/>
    <n v="8"/>
    <n v="2026"/>
    <x v="11"/>
    <n v="15"/>
    <x v="5"/>
    <s v="weekday"/>
    <x v="14"/>
    <x v="8"/>
  </r>
  <r>
    <n v="425"/>
    <n v="9"/>
    <n v="11"/>
    <n v="4"/>
    <x v="401"/>
    <n v="2"/>
    <x v="3"/>
    <x v="1"/>
    <x v="1"/>
    <n v="9"/>
    <n v="2026"/>
    <x v="9"/>
    <n v="21"/>
    <x v="5"/>
    <s v="weekday"/>
    <x v="19"/>
    <x v="1"/>
  </r>
  <r>
    <n v="426"/>
    <n v="15"/>
    <n v="17"/>
    <n v="7"/>
    <x v="402"/>
    <n v="4"/>
    <x v="4"/>
    <x v="1"/>
    <x v="1"/>
    <n v="8"/>
    <n v="2026"/>
    <x v="2"/>
    <n v="19"/>
    <x v="4"/>
    <s v="weekday"/>
    <x v="16"/>
    <x v="4"/>
  </r>
  <r>
    <n v="427"/>
    <n v="2"/>
    <n v="17"/>
    <n v="4"/>
    <x v="403"/>
    <n v="6"/>
    <x v="5"/>
    <x v="1"/>
    <x v="1"/>
    <n v="8"/>
    <n v="2026"/>
    <x v="1"/>
    <n v="15"/>
    <x v="0"/>
    <s v="weekday"/>
    <x v="16"/>
    <x v="1"/>
  </r>
  <r>
    <n v="428"/>
    <n v="2"/>
    <n v="19"/>
    <n v="2"/>
    <x v="404"/>
    <n v="6"/>
    <x v="5"/>
    <x v="1"/>
    <x v="0"/>
    <n v="8"/>
    <n v="2026"/>
    <x v="2"/>
    <n v="19"/>
    <x v="4"/>
    <s v="weekday"/>
    <x v="18"/>
    <x v="9"/>
  </r>
  <r>
    <n v="429"/>
    <n v="19"/>
    <n v="5"/>
    <n v="6"/>
    <x v="405"/>
    <n v="5"/>
    <x v="11"/>
    <x v="1"/>
    <x v="1"/>
    <n v="8"/>
    <n v="2026"/>
    <x v="7"/>
    <n v="14"/>
    <x v="6"/>
    <s v="weekday"/>
    <x v="14"/>
    <x v="0"/>
  </r>
  <r>
    <n v="430"/>
    <n v="10"/>
    <n v="5"/>
    <n v="10"/>
    <x v="406"/>
    <n v="5"/>
    <x v="6"/>
    <x v="0"/>
    <x v="2"/>
    <n v="9"/>
    <n v="2026"/>
    <x v="3"/>
    <n v="23"/>
    <x v="6"/>
    <s v="weekday"/>
    <x v="14"/>
    <x v="3"/>
  </r>
  <r>
    <n v="431"/>
    <n v="18"/>
    <n v="7"/>
    <n v="3"/>
    <x v="407"/>
    <n v="1"/>
    <x v="7"/>
    <x v="1"/>
    <x v="0"/>
    <n v="8"/>
    <n v="2026"/>
    <x v="8"/>
    <n v="19"/>
    <x v="5"/>
    <s v="weekday"/>
    <x v="3"/>
    <x v="6"/>
  </r>
  <r>
    <n v="432"/>
    <n v="8"/>
    <n v="7"/>
    <n v="6"/>
    <x v="408"/>
    <n v="3"/>
    <x v="10"/>
    <x v="1"/>
    <x v="2"/>
    <n v="10"/>
    <n v="2026"/>
    <x v="6"/>
    <n v="22"/>
    <x v="2"/>
    <s v="Weekend"/>
    <x v="3"/>
    <x v="0"/>
  </r>
  <r>
    <n v="433"/>
    <n v="15"/>
    <n v="13"/>
    <n v="8"/>
    <x v="409"/>
    <n v="6"/>
    <x v="0"/>
    <x v="1"/>
    <x v="2"/>
    <n v="9"/>
    <n v="2026"/>
    <x v="11"/>
    <n v="22"/>
    <x v="5"/>
    <s v="weekday"/>
    <x v="11"/>
    <x v="7"/>
  </r>
  <r>
    <n v="434"/>
    <n v="14"/>
    <n v="4"/>
    <n v="10"/>
    <x v="410"/>
    <n v="1"/>
    <x v="7"/>
    <x v="1"/>
    <x v="2"/>
    <n v="8"/>
    <n v="2026"/>
    <x v="7"/>
    <n v="16"/>
    <x v="5"/>
    <s v="weekday"/>
    <x v="15"/>
    <x v="3"/>
  </r>
  <r>
    <n v="435"/>
    <n v="9"/>
    <n v="17"/>
    <n v="9"/>
    <x v="411"/>
    <n v="6"/>
    <x v="0"/>
    <x v="0"/>
    <x v="1"/>
    <n v="9"/>
    <n v="2026"/>
    <x v="5"/>
    <n v="17"/>
    <x v="1"/>
    <s v="Weekend"/>
    <x v="16"/>
    <x v="2"/>
  </r>
  <r>
    <n v="436"/>
    <n v="1"/>
    <n v="8"/>
    <n v="8"/>
    <x v="412"/>
    <n v="2"/>
    <x v="12"/>
    <x v="1"/>
    <x v="1"/>
    <n v="8"/>
    <n v="2026"/>
    <x v="0"/>
    <n v="20"/>
    <x v="5"/>
    <s v="weekday"/>
    <x v="7"/>
    <x v="7"/>
  </r>
  <r>
    <n v="437"/>
    <n v="4"/>
    <n v="7"/>
    <n v="9"/>
    <x v="413"/>
    <n v="2"/>
    <x v="3"/>
    <x v="0"/>
    <x v="0"/>
    <n v="9"/>
    <n v="2026"/>
    <x v="4"/>
    <n v="14"/>
    <x v="1"/>
    <s v="Weekend"/>
    <x v="3"/>
    <x v="2"/>
  </r>
  <r>
    <n v="438"/>
    <n v="13"/>
    <n v="15"/>
    <n v="2"/>
    <x v="414"/>
    <n v="4"/>
    <x v="4"/>
    <x v="1"/>
    <x v="1"/>
    <n v="8"/>
    <n v="2026"/>
    <x v="5"/>
    <n v="16"/>
    <x v="0"/>
    <s v="weekday"/>
    <x v="5"/>
    <x v="9"/>
  </r>
  <r>
    <n v="439"/>
    <n v="12"/>
    <n v="3"/>
    <n v="5"/>
    <x v="415"/>
    <n v="3"/>
    <x v="9"/>
    <x v="1"/>
    <x v="2"/>
    <n v="9"/>
    <n v="2026"/>
    <x v="1"/>
    <n v="16"/>
    <x v="1"/>
    <s v="Weekend"/>
    <x v="0"/>
    <x v="8"/>
  </r>
  <r>
    <n v="440"/>
    <n v="4"/>
    <n v="14"/>
    <n v="2"/>
    <x v="416"/>
    <n v="6"/>
    <x v="14"/>
    <x v="0"/>
    <x v="2"/>
    <n v="10"/>
    <n v="2026"/>
    <x v="11"/>
    <n v="21"/>
    <x v="1"/>
    <s v="Weekend"/>
    <x v="2"/>
    <x v="9"/>
  </r>
  <r>
    <n v="441"/>
    <n v="15"/>
    <n v="20"/>
    <n v="4"/>
    <x v="417"/>
    <n v="2"/>
    <x v="3"/>
    <x v="1"/>
    <x v="2"/>
    <n v="9"/>
    <n v="2026"/>
    <x v="9"/>
    <n v="17"/>
    <x v="2"/>
    <s v="Weekend"/>
    <x v="4"/>
    <x v="1"/>
  </r>
  <r>
    <n v="442"/>
    <n v="19"/>
    <n v="6"/>
    <n v="6"/>
    <x v="418"/>
    <n v="2"/>
    <x v="12"/>
    <x v="1"/>
    <x v="2"/>
    <n v="8"/>
    <n v="2026"/>
    <x v="1"/>
    <n v="16"/>
    <x v="4"/>
    <s v="weekday"/>
    <x v="13"/>
    <x v="0"/>
  </r>
  <r>
    <n v="443"/>
    <n v="18"/>
    <n v="19"/>
    <n v="1"/>
    <x v="419"/>
    <n v="2"/>
    <x v="3"/>
    <x v="1"/>
    <x v="1"/>
    <n v="9"/>
    <n v="2026"/>
    <x v="5"/>
    <n v="20"/>
    <x v="1"/>
    <s v="Weekend"/>
    <x v="18"/>
    <x v="5"/>
  </r>
  <r>
    <n v="444"/>
    <n v="16"/>
    <n v="15"/>
    <n v="2"/>
    <x v="420"/>
    <n v="2"/>
    <x v="12"/>
    <x v="1"/>
    <x v="1"/>
    <n v="8"/>
    <n v="2026"/>
    <x v="0"/>
    <n v="17"/>
    <x v="5"/>
    <s v="weekday"/>
    <x v="5"/>
    <x v="9"/>
  </r>
  <r>
    <n v="445"/>
    <n v="16"/>
    <n v="18"/>
    <n v="10"/>
    <x v="421"/>
    <n v="2"/>
    <x v="12"/>
    <x v="1"/>
    <x v="0"/>
    <n v="8"/>
    <n v="2026"/>
    <x v="11"/>
    <n v="15"/>
    <x v="0"/>
    <s v="weekday"/>
    <x v="9"/>
    <x v="3"/>
  </r>
  <r>
    <n v="446"/>
    <n v="16"/>
    <n v="1"/>
    <n v="6"/>
    <x v="422"/>
    <n v="2"/>
    <x v="3"/>
    <x v="1"/>
    <x v="1"/>
    <n v="9"/>
    <n v="2026"/>
    <x v="4"/>
    <n v="22"/>
    <x v="5"/>
    <s v="weekday"/>
    <x v="6"/>
    <x v="0"/>
  </r>
  <r>
    <n v="447"/>
    <n v="5"/>
    <n v="18"/>
    <n v="9"/>
    <x v="423"/>
    <n v="5"/>
    <x v="6"/>
    <x v="0"/>
    <x v="0"/>
    <n v="9"/>
    <n v="2026"/>
    <x v="8"/>
    <n v="19"/>
    <x v="2"/>
    <s v="Weekend"/>
    <x v="9"/>
    <x v="2"/>
  </r>
  <r>
    <n v="448"/>
    <n v="5"/>
    <n v="6"/>
    <n v="5"/>
    <x v="424"/>
    <n v="5"/>
    <x v="11"/>
    <x v="1"/>
    <x v="1"/>
    <n v="8"/>
    <n v="2026"/>
    <x v="3"/>
    <n v="18"/>
    <x v="5"/>
    <s v="weekday"/>
    <x v="13"/>
    <x v="8"/>
  </r>
  <r>
    <n v="449"/>
    <n v="2"/>
    <n v="5"/>
    <n v="4"/>
    <x v="425"/>
    <n v="3"/>
    <x v="8"/>
    <x v="1"/>
    <x v="0"/>
    <n v="8"/>
    <n v="2026"/>
    <x v="6"/>
    <n v="20"/>
    <x v="3"/>
    <s v="weekday"/>
    <x v="14"/>
    <x v="1"/>
  </r>
  <r>
    <n v="450"/>
    <n v="5"/>
    <n v="9"/>
    <n v="10"/>
    <x v="426"/>
    <n v="6"/>
    <x v="14"/>
    <x v="1"/>
    <x v="2"/>
    <n v="10"/>
    <n v="2026"/>
    <x v="10"/>
    <n v="23"/>
    <x v="2"/>
    <s v="Weekend"/>
    <x v="10"/>
    <x v="3"/>
  </r>
  <r>
    <n v="451"/>
    <n v="20"/>
    <n v="17"/>
    <n v="9"/>
    <x v="427"/>
    <n v="5"/>
    <x v="11"/>
    <x v="1"/>
    <x v="2"/>
    <n v="8"/>
    <n v="2026"/>
    <x v="9"/>
    <n v="15"/>
    <x v="3"/>
    <s v="weekday"/>
    <x v="16"/>
    <x v="2"/>
  </r>
  <r>
    <n v="452"/>
    <n v="10"/>
    <n v="14"/>
    <n v="6"/>
    <x v="100"/>
    <n v="6"/>
    <x v="5"/>
    <x v="1"/>
    <x v="1"/>
    <n v="8"/>
    <n v="2026"/>
    <x v="11"/>
    <n v="20"/>
    <x v="0"/>
    <s v="weekday"/>
    <x v="2"/>
    <x v="0"/>
  </r>
  <r>
    <n v="453"/>
    <n v="10"/>
    <n v="1"/>
    <n v="3"/>
    <x v="428"/>
    <n v="6"/>
    <x v="0"/>
    <x v="1"/>
    <x v="0"/>
    <n v="9"/>
    <n v="2026"/>
    <x v="2"/>
    <n v="22"/>
    <x v="3"/>
    <s v="weekday"/>
    <x v="6"/>
    <x v="6"/>
  </r>
  <r>
    <n v="454"/>
    <n v="13"/>
    <n v="17"/>
    <n v="8"/>
    <x v="429"/>
    <n v="2"/>
    <x v="12"/>
    <x v="1"/>
    <x v="0"/>
    <n v="8"/>
    <n v="2026"/>
    <x v="10"/>
    <n v="14"/>
    <x v="0"/>
    <s v="weekday"/>
    <x v="16"/>
    <x v="7"/>
  </r>
  <r>
    <n v="455"/>
    <n v="4"/>
    <n v="2"/>
    <n v="2"/>
    <x v="430"/>
    <n v="5"/>
    <x v="11"/>
    <x v="1"/>
    <x v="1"/>
    <n v="8"/>
    <n v="2026"/>
    <x v="5"/>
    <n v="15"/>
    <x v="5"/>
    <s v="weekday"/>
    <x v="8"/>
    <x v="9"/>
  </r>
  <r>
    <n v="456"/>
    <n v="1"/>
    <n v="15"/>
    <n v="3"/>
    <x v="431"/>
    <n v="6"/>
    <x v="14"/>
    <x v="1"/>
    <x v="0"/>
    <n v="10"/>
    <n v="2026"/>
    <x v="9"/>
    <n v="22"/>
    <x v="1"/>
    <s v="Weekend"/>
    <x v="5"/>
    <x v="6"/>
  </r>
  <r>
    <n v="457"/>
    <n v="4"/>
    <n v="14"/>
    <n v="2"/>
    <x v="432"/>
    <n v="5"/>
    <x v="11"/>
    <x v="1"/>
    <x v="1"/>
    <n v="8"/>
    <n v="2026"/>
    <x v="2"/>
    <n v="16"/>
    <x v="4"/>
    <s v="weekday"/>
    <x v="2"/>
    <x v="9"/>
  </r>
  <r>
    <n v="458"/>
    <n v="5"/>
    <n v="17"/>
    <n v="6"/>
    <x v="433"/>
    <n v="2"/>
    <x v="12"/>
    <x v="1"/>
    <x v="1"/>
    <n v="8"/>
    <n v="2026"/>
    <x v="2"/>
    <n v="17"/>
    <x v="4"/>
    <s v="weekday"/>
    <x v="16"/>
    <x v="0"/>
  </r>
  <r>
    <n v="459"/>
    <n v="14"/>
    <n v="1"/>
    <n v="7"/>
    <x v="434"/>
    <n v="2"/>
    <x v="3"/>
    <x v="1"/>
    <x v="0"/>
    <n v="9"/>
    <n v="2026"/>
    <x v="1"/>
    <n v="14"/>
    <x v="2"/>
    <s v="Weekend"/>
    <x v="6"/>
    <x v="4"/>
  </r>
  <r>
    <n v="460"/>
    <n v="14"/>
    <n v="13"/>
    <n v="7"/>
    <x v="435"/>
    <n v="5"/>
    <x v="6"/>
    <x v="1"/>
    <x v="2"/>
    <n v="9"/>
    <n v="2026"/>
    <x v="7"/>
    <n v="22"/>
    <x v="6"/>
    <s v="weekday"/>
    <x v="11"/>
    <x v="4"/>
  </r>
  <r>
    <n v="461"/>
    <n v="19"/>
    <n v="4"/>
    <n v="4"/>
    <x v="436"/>
    <n v="6"/>
    <x v="5"/>
    <x v="1"/>
    <x v="1"/>
    <n v="8"/>
    <n v="2026"/>
    <x v="6"/>
    <n v="15"/>
    <x v="4"/>
    <s v="weekday"/>
    <x v="15"/>
    <x v="1"/>
  </r>
  <r>
    <n v="462"/>
    <n v="19"/>
    <n v="11"/>
    <n v="3"/>
    <x v="437"/>
    <n v="4"/>
    <x v="4"/>
    <x v="0"/>
    <x v="2"/>
    <n v="8"/>
    <n v="2026"/>
    <x v="0"/>
    <n v="17"/>
    <x v="0"/>
    <s v="weekday"/>
    <x v="19"/>
    <x v="6"/>
  </r>
  <r>
    <n v="463"/>
    <n v="7"/>
    <n v="20"/>
    <n v="10"/>
    <x v="438"/>
    <n v="1"/>
    <x v="7"/>
    <x v="1"/>
    <x v="0"/>
    <n v="8"/>
    <n v="2026"/>
    <x v="1"/>
    <n v="19"/>
    <x v="5"/>
    <s v="weekday"/>
    <x v="4"/>
    <x v="3"/>
  </r>
  <r>
    <n v="464"/>
    <n v="10"/>
    <n v="11"/>
    <n v="8"/>
    <x v="439"/>
    <n v="6"/>
    <x v="0"/>
    <x v="1"/>
    <x v="0"/>
    <n v="9"/>
    <n v="2026"/>
    <x v="4"/>
    <n v="21"/>
    <x v="5"/>
    <s v="weekday"/>
    <x v="19"/>
    <x v="7"/>
  </r>
  <r>
    <n v="465"/>
    <n v="16"/>
    <n v="8"/>
    <n v="4"/>
    <x v="440"/>
    <n v="2"/>
    <x v="3"/>
    <x v="1"/>
    <x v="1"/>
    <n v="9"/>
    <n v="2026"/>
    <x v="2"/>
    <n v="20"/>
    <x v="2"/>
    <s v="Weekend"/>
    <x v="7"/>
    <x v="1"/>
  </r>
  <r>
    <n v="466"/>
    <n v="20"/>
    <n v="16"/>
    <n v="7"/>
    <x v="441"/>
    <n v="1"/>
    <x v="7"/>
    <x v="1"/>
    <x v="1"/>
    <n v="8"/>
    <n v="2026"/>
    <x v="1"/>
    <n v="15"/>
    <x v="5"/>
    <s v="weekday"/>
    <x v="12"/>
    <x v="4"/>
  </r>
  <r>
    <n v="467"/>
    <n v="10"/>
    <n v="6"/>
    <n v="3"/>
    <x v="442"/>
    <n v="6"/>
    <x v="5"/>
    <x v="1"/>
    <x v="2"/>
    <n v="8"/>
    <n v="2026"/>
    <x v="10"/>
    <n v="17"/>
    <x v="0"/>
    <s v="weekday"/>
    <x v="13"/>
    <x v="6"/>
  </r>
  <r>
    <n v="468"/>
    <n v="15"/>
    <n v="10"/>
    <n v="4"/>
    <x v="443"/>
    <n v="4"/>
    <x v="11"/>
    <x v="1"/>
    <x v="0"/>
    <n v="10"/>
    <n v="2026"/>
    <x v="11"/>
    <n v="22"/>
    <x v="2"/>
    <s v="Weekend"/>
    <x v="1"/>
    <x v="1"/>
  </r>
  <r>
    <n v="469"/>
    <n v="17"/>
    <n v="14"/>
    <n v="7"/>
    <x v="444"/>
    <n v="1"/>
    <x v="1"/>
    <x v="1"/>
    <x v="1"/>
    <n v="9"/>
    <n v="2026"/>
    <x v="9"/>
    <n v="22"/>
    <x v="5"/>
    <s v="weekday"/>
    <x v="2"/>
    <x v="4"/>
  </r>
  <r>
    <n v="470"/>
    <n v="18"/>
    <n v="1"/>
    <n v="6"/>
    <x v="445"/>
    <n v="6"/>
    <x v="5"/>
    <x v="1"/>
    <x v="1"/>
    <n v="8"/>
    <n v="2026"/>
    <x v="1"/>
    <n v="18"/>
    <x v="3"/>
    <s v="weekday"/>
    <x v="6"/>
    <x v="0"/>
  </r>
  <r>
    <n v="471"/>
    <n v="3"/>
    <n v="12"/>
    <n v="1"/>
    <x v="446"/>
    <n v="2"/>
    <x v="3"/>
    <x v="1"/>
    <x v="1"/>
    <n v="9"/>
    <n v="2026"/>
    <x v="10"/>
    <n v="23"/>
    <x v="0"/>
    <s v="weekday"/>
    <x v="17"/>
    <x v="5"/>
  </r>
  <r>
    <n v="472"/>
    <n v="2"/>
    <n v="9"/>
    <n v="6"/>
    <x v="447"/>
    <n v="1"/>
    <x v="1"/>
    <x v="0"/>
    <x v="0"/>
    <n v="9"/>
    <n v="2026"/>
    <x v="11"/>
    <n v="21"/>
    <x v="3"/>
    <s v="weekday"/>
    <x v="10"/>
    <x v="0"/>
  </r>
  <r>
    <n v="473"/>
    <n v="14"/>
    <n v="16"/>
    <n v="7"/>
    <x v="448"/>
    <n v="1"/>
    <x v="1"/>
    <x v="1"/>
    <x v="1"/>
    <n v="9"/>
    <n v="2026"/>
    <x v="8"/>
    <n v="22"/>
    <x v="4"/>
    <s v="weekday"/>
    <x v="12"/>
    <x v="4"/>
  </r>
  <r>
    <n v="474"/>
    <n v="15"/>
    <n v="11"/>
    <n v="2"/>
    <x v="449"/>
    <n v="4"/>
    <x v="4"/>
    <x v="1"/>
    <x v="1"/>
    <n v="8"/>
    <n v="2026"/>
    <x v="9"/>
    <n v="18"/>
    <x v="4"/>
    <s v="weekday"/>
    <x v="19"/>
    <x v="9"/>
  </r>
  <r>
    <n v="475"/>
    <n v="17"/>
    <n v="12"/>
    <n v="8"/>
    <x v="450"/>
    <n v="4"/>
    <x v="4"/>
    <x v="1"/>
    <x v="0"/>
    <n v="8"/>
    <n v="2026"/>
    <x v="2"/>
    <n v="17"/>
    <x v="3"/>
    <s v="weekday"/>
    <x v="17"/>
    <x v="7"/>
  </r>
  <r>
    <n v="476"/>
    <n v="8"/>
    <n v="13"/>
    <n v="4"/>
    <x v="451"/>
    <n v="5"/>
    <x v="6"/>
    <x v="1"/>
    <x v="0"/>
    <n v="9"/>
    <n v="2026"/>
    <x v="7"/>
    <n v="23"/>
    <x v="4"/>
    <s v="weekday"/>
    <x v="11"/>
    <x v="1"/>
  </r>
  <r>
    <n v="477"/>
    <n v="10"/>
    <n v="5"/>
    <n v="5"/>
    <x v="452"/>
    <n v="1"/>
    <x v="7"/>
    <x v="1"/>
    <x v="0"/>
    <n v="8"/>
    <n v="2026"/>
    <x v="11"/>
    <n v="16"/>
    <x v="6"/>
    <s v="weekday"/>
    <x v="14"/>
    <x v="8"/>
  </r>
  <r>
    <n v="478"/>
    <n v="1"/>
    <n v="2"/>
    <n v="6"/>
    <x v="453"/>
    <n v="2"/>
    <x v="3"/>
    <x v="1"/>
    <x v="1"/>
    <n v="9"/>
    <n v="2026"/>
    <x v="11"/>
    <n v="17"/>
    <x v="1"/>
    <s v="Weekend"/>
    <x v="8"/>
    <x v="0"/>
  </r>
  <r>
    <n v="479"/>
    <n v="18"/>
    <n v="17"/>
    <n v="10"/>
    <x v="454"/>
    <n v="1"/>
    <x v="1"/>
    <x v="1"/>
    <x v="1"/>
    <n v="9"/>
    <n v="2026"/>
    <x v="10"/>
    <n v="22"/>
    <x v="4"/>
    <s v="weekday"/>
    <x v="16"/>
    <x v="3"/>
  </r>
  <r>
    <n v="480"/>
    <n v="17"/>
    <n v="18"/>
    <n v="6"/>
    <x v="455"/>
    <n v="5"/>
    <x v="6"/>
    <x v="1"/>
    <x v="0"/>
    <n v="9"/>
    <n v="2026"/>
    <x v="4"/>
    <n v="19"/>
    <x v="1"/>
    <s v="Weekend"/>
    <x v="9"/>
    <x v="0"/>
  </r>
  <r>
    <n v="481"/>
    <n v="17"/>
    <n v="11"/>
    <n v="8"/>
    <x v="456"/>
    <n v="2"/>
    <x v="12"/>
    <x v="1"/>
    <x v="2"/>
    <n v="8"/>
    <n v="2026"/>
    <x v="0"/>
    <n v="19"/>
    <x v="0"/>
    <s v="weekday"/>
    <x v="19"/>
    <x v="7"/>
  </r>
  <r>
    <n v="482"/>
    <n v="17"/>
    <n v="13"/>
    <n v="10"/>
    <x v="457"/>
    <n v="3"/>
    <x v="9"/>
    <x v="1"/>
    <x v="0"/>
    <n v="9"/>
    <n v="2026"/>
    <x v="9"/>
    <n v="22"/>
    <x v="3"/>
    <s v="weekday"/>
    <x v="11"/>
    <x v="3"/>
  </r>
  <r>
    <n v="483"/>
    <n v="8"/>
    <n v="9"/>
    <n v="1"/>
    <x v="458"/>
    <n v="6"/>
    <x v="5"/>
    <x v="1"/>
    <x v="0"/>
    <n v="8"/>
    <n v="2026"/>
    <x v="2"/>
    <n v="14"/>
    <x v="3"/>
    <s v="weekday"/>
    <x v="10"/>
    <x v="5"/>
  </r>
  <r>
    <n v="484"/>
    <n v="11"/>
    <n v="8"/>
    <n v="10"/>
    <x v="459"/>
    <n v="6"/>
    <x v="0"/>
    <x v="1"/>
    <x v="2"/>
    <n v="9"/>
    <n v="2026"/>
    <x v="0"/>
    <n v="22"/>
    <x v="0"/>
    <s v="weekday"/>
    <x v="7"/>
    <x v="3"/>
  </r>
  <r>
    <n v="485"/>
    <n v="3"/>
    <n v="19"/>
    <n v="8"/>
    <x v="269"/>
    <n v="3"/>
    <x v="9"/>
    <x v="1"/>
    <x v="2"/>
    <n v="9"/>
    <n v="2026"/>
    <x v="6"/>
    <n v="22"/>
    <x v="0"/>
    <s v="weekday"/>
    <x v="18"/>
    <x v="7"/>
  </r>
  <r>
    <n v="486"/>
    <n v="3"/>
    <n v="12"/>
    <n v="9"/>
    <x v="460"/>
    <n v="4"/>
    <x v="11"/>
    <x v="1"/>
    <x v="0"/>
    <n v="10"/>
    <n v="2026"/>
    <x v="3"/>
    <n v="23"/>
    <x v="2"/>
    <s v="Weekend"/>
    <x v="17"/>
    <x v="2"/>
  </r>
  <r>
    <n v="487"/>
    <n v="18"/>
    <n v="17"/>
    <n v="5"/>
    <x v="461"/>
    <n v="1"/>
    <x v="1"/>
    <x v="1"/>
    <x v="2"/>
    <n v="9"/>
    <n v="2026"/>
    <x v="1"/>
    <n v="20"/>
    <x v="1"/>
    <s v="Weekend"/>
    <x v="16"/>
    <x v="8"/>
  </r>
  <r>
    <n v="488"/>
    <n v="7"/>
    <n v="16"/>
    <n v="2"/>
    <x v="462"/>
    <n v="6"/>
    <x v="0"/>
    <x v="1"/>
    <x v="0"/>
    <n v="9"/>
    <n v="2026"/>
    <x v="6"/>
    <n v="22"/>
    <x v="6"/>
    <s v="weekday"/>
    <x v="12"/>
    <x v="9"/>
  </r>
  <r>
    <n v="489"/>
    <n v="12"/>
    <n v="20"/>
    <n v="10"/>
    <x v="463"/>
    <n v="5"/>
    <x v="11"/>
    <x v="1"/>
    <x v="1"/>
    <n v="8"/>
    <n v="2026"/>
    <x v="9"/>
    <n v="16"/>
    <x v="3"/>
    <s v="weekday"/>
    <x v="4"/>
    <x v="3"/>
  </r>
  <r>
    <n v="490"/>
    <n v="4"/>
    <n v="14"/>
    <n v="4"/>
    <x v="464"/>
    <n v="4"/>
    <x v="4"/>
    <x v="1"/>
    <x v="2"/>
    <n v="8"/>
    <n v="2026"/>
    <x v="9"/>
    <n v="18"/>
    <x v="6"/>
    <s v="weekday"/>
    <x v="2"/>
    <x v="1"/>
  </r>
  <r>
    <n v="491"/>
    <n v="13"/>
    <n v="18"/>
    <n v="5"/>
    <x v="465"/>
    <n v="4"/>
    <x v="2"/>
    <x v="1"/>
    <x v="1"/>
    <n v="9"/>
    <n v="2026"/>
    <x v="0"/>
    <n v="22"/>
    <x v="5"/>
    <s v="weekday"/>
    <x v="9"/>
    <x v="8"/>
  </r>
  <r>
    <n v="492"/>
    <n v="2"/>
    <n v="19"/>
    <n v="4"/>
    <x v="466"/>
    <n v="2"/>
    <x v="3"/>
    <x v="0"/>
    <x v="0"/>
    <n v="9"/>
    <n v="2026"/>
    <x v="10"/>
    <n v="19"/>
    <x v="2"/>
    <s v="Weekend"/>
    <x v="18"/>
    <x v="1"/>
  </r>
  <r>
    <n v="493"/>
    <n v="3"/>
    <n v="18"/>
    <n v="5"/>
    <x v="467"/>
    <n v="1"/>
    <x v="7"/>
    <x v="1"/>
    <x v="2"/>
    <n v="8"/>
    <n v="2026"/>
    <x v="10"/>
    <n v="14"/>
    <x v="3"/>
    <s v="weekday"/>
    <x v="9"/>
    <x v="8"/>
  </r>
  <r>
    <n v="494"/>
    <n v="6"/>
    <n v="3"/>
    <n v="3"/>
    <x v="468"/>
    <n v="4"/>
    <x v="4"/>
    <x v="1"/>
    <x v="2"/>
    <n v="8"/>
    <n v="2026"/>
    <x v="8"/>
    <n v="16"/>
    <x v="3"/>
    <s v="weekday"/>
    <x v="0"/>
    <x v="6"/>
  </r>
  <r>
    <n v="495"/>
    <n v="7"/>
    <n v="15"/>
    <n v="3"/>
    <x v="469"/>
    <n v="5"/>
    <x v="16"/>
    <x v="1"/>
    <x v="0"/>
    <n v="10"/>
    <n v="2026"/>
    <x v="9"/>
    <n v="22"/>
    <x v="2"/>
    <s v="Weekend"/>
    <x v="5"/>
    <x v="6"/>
  </r>
  <r>
    <n v="496"/>
    <n v="16"/>
    <n v="17"/>
    <n v="10"/>
    <x v="470"/>
    <n v="6"/>
    <x v="5"/>
    <x v="1"/>
    <x v="1"/>
    <n v="8"/>
    <n v="2026"/>
    <x v="9"/>
    <n v="17"/>
    <x v="6"/>
    <s v="weekday"/>
    <x v="16"/>
    <x v="3"/>
  </r>
  <r>
    <n v="497"/>
    <n v="19"/>
    <n v="5"/>
    <n v="7"/>
    <x v="471"/>
    <n v="2"/>
    <x v="12"/>
    <x v="1"/>
    <x v="2"/>
    <n v="8"/>
    <n v="2026"/>
    <x v="5"/>
    <n v="14"/>
    <x v="3"/>
    <s v="weekday"/>
    <x v="14"/>
    <x v="4"/>
  </r>
  <r>
    <n v="498"/>
    <n v="3"/>
    <n v="15"/>
    <n v="10"/>
    <x v="472"/>
    <n v="4"/>
    <x v="2"/>
    <x v="1"/>
    <x v="2"/>
    <n v="9"/>
    <n v="2026"/>
    <x v="2"/>
    <n v="22"/>
    <x v="5"/>
    <s v="weekday"/>
    <x v="5"/>
    <x v="3"/>
  </r>
  <r>
    <n v="499"/>
    <n v="20"/>
    <n v="8"/>
    <n v="6"/>
    <x v="473"/>
    <n v="4"/>
    <x v="4"/>
    <x v="1"/>
    <x v="1"/>
    <n v="8"/>
    <n v="2026"/>
    <x v="5"/>
    <n v="14"/>
    <x v="5"/>
    <s v="weekday"/>
    <x v="7"/>
    <x v="0"/>
  </r>
  <r>
    <n v="500"/>
    <n v="7"/>
    <n v="8"/>
    <n v="10"/>
    <x v="474"/>
    <n v="1"/>
    <x v="1"/>
    <x v="1"/>
    <x v="1"/>
    <n v="9"/>
    <n v="2026"/>
    <x v="11"/>
    <n v="19"/>
    <x v="1"/>
    <s v="Weekend"/>
    <x v="7"/>
    <x v="3"/>
  </r>
  <r>
    <n v="501"/>
    <n v="4"/>
    <n v="9"/>
    <n v="2"/>
    <x v="475"/>
    <n v="2"/>
    <x v="3"/>
    <x v="1"/>
    <x v="0"/>
    <n v="9"/>
    <n v="2026"/>
    <x v="0"/>
    <n v="22"/>
    <x v="6"/>
    <s v="weekday"/>
    <x v="10"/>
    <x v="9"/>
  </r>
  <r>
    <n v="502"/>
    <n v="10"/>
    <n v="2"/>
    <n v="8"/>
    <x v="476"/>
    <n v="6"/>
    <x v="0"/>
    <x v="1"/>
    <x v="1"/>
    <n v="9"/>
    <n v="2026"/>
    <x v="4"/>
    <n v="21"/>
    <x v="5"/>
    <s v="weekday"/>
    <x v="8"/>
    <x v="7"/>
  </r>
  <r>
    <n v="503"/>
    <n v="6"/>
    <n v="16"/>
    <n v="3"/>
    <x v="477"/>
    <n v="3"/>
    <x v="8"/>
    <x v="1"/>
    <x v="1"/>
    <n v="8"/>
    <n v="2026"/>
    <x v="5"/>
    <n v="18"/>
    <x v="5"/>
    <s v="weekday"/>
    <x v="12"/>
    <x v="6"/>
  </r>
  <r>
    <n v="504"/>
    <n v="8"/>
    <n v="9"/>
    <n v="9"/>
    <x v="478"/>
    <n v="4"/>
    <x v="4"/>
    <x v="1"/>
    <x v="1"/>
    <n v="8"/>
    <n v="2026"/>
    <x v="9"/>
    <n v="14"/>
    <x v="3"/>
    <s v="weekday"/>
    <x v="10"/>
    <x v="2"/>
  </r>
  <r>
    <n v="505"/>
    <n v="10"/>
    <n v="6"/>
    <n v="7"/>
    <x v="479"/>
    <n v="2"/>
    <x v="12"/>
    <x v="1"/>
    <x v="1"/>
    <n v="8"/>
    <n v="2026"/>
    <x v="2"/>
    <n v="15"/>
    <x v="0"/>
    <s v="weekday"/>
    <x v="13"/>
    <x v="4"/>
  </r>
  <r>
    <n v="506"/>
    <n v="17"/>
    <n v="18"/>
    <n v="8"/>
    <x v="480"/>
    <n v="4"/>
    <x v="2"/>
    <x v="1"/>
    <x v="2"/>
    <n v="9"/>
    <n v="2026"/>
    <x v="10"/>
    <n v="18"/>
    <x v="2"/>
    <s v="Weekend"/>
    <x v="9"/>
    <x v="7"/>
  </r>
  <r>
    <n v="507"/>
    <n v="19"/>
    <n v="17"/>
    <n v="9"/>
    <x v="481"/>
    <n v="5"/>
    <x v="11"/>
    <x v="1"/>
    <x v="1"/>
    <n v="8"/>
    <n v="2026"/>
    <x v="6"/>
    <n v="17"/>
    <x v="0"/>
    <s v="weekday"/>
    <x v="16"/>
    <x v="2"/>
  </r>
  <r>
    <n v="508"/>
    <n v="3"/>
    <n v="5"/>
    <n v="8"/>
    <x v="482"/>
    <n v="4"/>
    <x v="4"/>
    <x v="1"/>
    <x v="1"/>
    <n v="8"/>
    <n v="2026"/>
    <x v="7"/>
    <n v="16"/>
    <x v="5"/>
    <s v="weekday"/>
    <x v="14"/>
    <x v="7"/>
  </r>
  <r>
    <n v="509"/>
    <n v="10"/>
    <n v="8"/>
    <n v="8"/>
    <x v="483"/>
    <n v="4"/>
    <x v="2"/>
    <x v="1"/>
    <x v="2"/>
    <n v="9"/>
    <n v="2026"/>
    <x v="6"/>
    <n v="22"/>
    <x v="6"/>
    <s v="weekday"/>
    <x v="7"/>
    <x v="7"/>
  </r>
  <r>
    <n v="510"/>
    <n v="7"/>
    <n v="6"/>
    <n v="9"/>
    <x v="484"/>
    <n v="5"/>
    <x v="11"/>
    <x v="1"/>
    <x v="1"/>
    <n v="8"/>
    <n v="2026"/>
    <x v="7"/>
    <n v="17"/>
    <x v="0"/>
    <s v="weekday"/>
    <x v="13"/>
    <x v="2"/>
  </r>
  <r>
    <n v="511"/>
    <n v="17"/>
    <n v="9"/>
    <n v="2"/>
    <x v="485"/>
    <n v="2"/>
    <x v="12"/>
    <x v="1"/>
    <x v="0"/>
    <n v="8"/>
    <n v="2026"/>
    <x v="6"/>
    <n v="18"/>
    <x v="6"/>
    <s v="weekday"/>
    <x v="10"/>
    <x v="9"/>
  </r>
  <r>
    <n v="512"/>
    <n v="6"/>
    <n v="12"/>
    <n v="4"/>
    <x v="486"/>
    <n v="4"/>
    <x v="2"/>
    <x v="1"/>
    <x v="1"/>
    <n v="9"/>
    <n v="2026"/>
    <x v="4"/>
    <n v="19"/>
    <x v="1"/>
    <s v="Weekend"/>
    <x v="17"/>
    <x v="1"/>
  </r>
  <r>
    <n v="513"/>
    <n v="16"/>
    <n v="12"/>
    <n v="4"/>
    <x v="487"/>
    <n v="6"/>
    <x v="5"/>
    <x v="1"/>
    <x v="1"/>
    <n v="8"/>
    <n v="2026"/>
    <x v="8"/>
    <n v="14"/>
    <x v="5"/>
    <s v="weekday"/>
    <x v="17"/>
    <x v="1"/>
  </r>
  <r>
    <n v="514"/>
    <n v="14"/>
    <n v="14"/>
    <n v="9"/>
    <x v="488"/>
    <n v="5"/>
    <x v="11"/>
    <x v="1"/>
    <x v="1"/>
    <n v="8"/>
    <n v="2026"/>
    <x v="2"/>
    <n v="14"/>
    <x v="5"/>
    <s v="weekday"/>
    <x v="2"/>
    <x v="2"/>
  </r>
  <r>
    <n v="515"/>
    <n v="7"/>
    <n v="2"/>
    <n v="2"/>
    <x v="489"/>
    <n v="2"/>
    <x v="3"/>
    <x v="1"/>
    <x v="1"/>
    <n v="9"/>
    <n v="2026"/>
    <x v="2"/>
    <n v="22"/>
    <x v="3"/>
    <s v="weekday"/>
    <x v="8"/>
    <x v="9"/>
  </r>
  <r>
    <n v="516"/>
    <n v="8"/>
    <n v="11"/>
    <n v="5"/>
    <x v="490"/>
    <n v="4"/>
    <x v="4"/>
    <x v="1"/>
    <x v="0"/>
    <n v="8"/>
    <n v="2026"/>
    <x v="8"/>
    <n v="19"/>
    <x v="5"/>
    <s v="weekday"/>
    <x v="19"/>
    <x v="8"/>
  </r>
  <r>
    <n v="517"/>
    <n v="12"/>
    <n v="18"/>
    <n v="3"/>
    <x v="491"/>
    <n v="2"/>
    <x v="12"/>
    <x v="1"/>
    <x v="0"/>
    <n v="8"/>
    <n v="2026"/>
    <x v="10"/>
    <n v="15"/>
    <x v="4"/>
    <s v="weekday"/>
    <x v="9"/>
    <x v="6"/>
  </r>
  <r>
    <n v="518"/>
    <n v="17"/>
    <n v="1"/>
    <n v="7"/>
    <x v="492"/>
    <n v="6"/>
    <x v="0"/>
    <x v="1"/>
    <x v="0"/>
    <n v="9"/>
    <n v="2026"/>
    <x v="4"/>
    <n v="22"/>
    <x v="0"/>
    <s v="weekday"/>
    <x v="6"/>
    <x v="4"/>
  </r>
  <r>
    <n v="519"/>
    <n v="19"/>
    <n v="16"/>
    <n v="5"/>
    <x v="493"/>
    <n v="1"/>
    <x v="1"/>
    <x v="1"/>
    <x v="1"/>
    <n v="9"/>
    <n v="2026"/>
    <x v="9"/>
    <n v="22"/>
    <x v="3"/>
    <s v="weekday"/>
    <x v="12"/>
    <x v="8"/>
  </r>
  <r>
    <n v="520"/>
    <n v="8"/>
    <n v="3"/>
    <n v="8"/>
    <x v="494"/>
    <n v="6"/>
    <x v="14"/>
    <x v="1"/>
    <x v="0"/>
    <n v="10"/>
    <n v="2026"/>
    <x v="7"/>
    <n v="23"/>
    <x v="1"/>
    <s v="Weekend"/>
    <x v="0"/>
    <x v="7"/>
  </r>
  <r>
    <n v="521"/>
    <n v="4"/>
    <n v="13"/>
    <n v="10"/>
    <x v="495"/>
    <n v="6"/>
    <x v="5"/>
    <x v="1"/>
    <x v="1"/>
    <n v="8"/>
    <n v="2026"/>
    <x v="5"/>
    <n v="17"/>
    <x v="0"/>
    <s v="weekday"/>
    <x v="11"/>
    <x v="3"/>
  </r>
  <r>
    <n v="522"/>
    <n v="11"/>
    <n v="4"/>
    <n v="7"/>
    <x v="496"/>
    <n v="5"/>
    <x v="6"/>
    <x v="0"/>
    <x v="2"/>
    <n v="9"/>
    <n v="2026"/>
    <x v="11"/>
    <n v="22"/>
    <x v="3"/>
    <s v="weekday"/>
    <x v="15"/>
    <x v="4"/>
  </r>
  <r>
    <n v="523"/>
    <n v="16"/>
    <n v="16"/>
    <n v="6"/>
    <x v="497"/>
    <n v="5"/>
    <x v="11"/>
    <x v="1"/>
    <x v="1"/>
    <n v="8"/>
    <n v="2026"/>
    <x v="4"/>
    <n v="14"/>
    <x v="0"/>
    <s v="weekday"/>
    <x v="12"/>
    <x v="0"/>
  </r>
  <r>
    <n v="524"/>
    <n v="17"/>
    <n v="8"/>
    <n v="1"/>
    <x v="498"/>
    <n v="1"/>
    <x v="7"/>
    <x v="1"/>
    <x v="0"/>
    <n v="8"/>
    <n v="2026"/>
    <x v="10"/>
    <n v="20"/>
    <x v="0"/>
    <s v="weekday"/>
    <x v="7"/>
    <x v="5"/>
  </r>
  <r>
    <n v="525"/>
    <n v="3"/>
    <n v="11"/>
    <n v="9"/>
    <x v="499"/>
    <n v="2"/>
    <x v="12"/>
    <x v="1"/>
    <x v="1"/>
    <n v="8"/>
    <n v="2026"/>
    <x v="7"/>
    <n v="15"/>
    <x v="0"/>
    <s v="weekday"/>
    <x v="19"/>
    <x v="2"/>
  </r>
  <r>
    <n v="526"/>
    <n v="11"/>
    <n v="20"/>
    <n v="2"/>
    <x v="500"/>
    <n v="6"/>
    <x v="0"/>
    <x v="1"/>
    <x v="1"/>
    <n v="9"/>
    <n v="2026"/>
    <x v="1"/>
    <n v="16"/>
    <x v="2"/>
    <s v="Weekend"/>
    <x v="4"/>
    <x v="9"/>
  </r>
  <r>
    <n v="527"/>
    <n v="18"/>
    <n v="12"/>
    <n v="4"/>
    <x v="501"/>
    <n v="3"/>
    <x v="8"/>
    <x v="1"/>
    <x v="0"/>
    <n v="8"/>
    <n v="2026"/>
    <x v="4"/>
    <n v="19"/>
    <x v="3"/>
    <s v="weekday"/>
    <x v="17"/>
    <x v="1"/>
  </r>
  <r>
    <n v="528"/>
    <n v="7"/>
    <n v="15"/>
    <n v="4"/>
    <x v="502"/>
    <n v="4"/>
    <x v="4"/>
    <x v="1"/>
    <x v="0"/>
    <n v="8"/>
    <n v="2026"/>
    <x v="1"/>
    <n v="17"/>
    <x v="0"/>
    <s v="weekday"/>
    <x v="5"/>
    <x v="1"/>
  </r>
  <r>
    <n v="529"/>
    <n v="6"/>
    <n v="3"/>
    <n v="7"/>
    <x v="503"/>
    <n v="6"/>
    <x v="5"/>
    <x v="0"/>
    <x v="1"/>
    <n v="8"/>
    <n v="2026"/>
    <x v="7"/>
    <n v="20"/>
    <x v="5"/>
    <s v="weekday"/>
    <x v="0"/>
    <x v="4"/>
  </r>
  <r>
    <n v="530"/>
    <n v="4"/>
    <n v="5"/>
    <n v="5"/>
    <x v="504"/>
    <n v="3"/>
    <x v="9"/>
    <x v="1"/>
    <x v="1"/>
    <n v="9"/>
    <n v="2026"/>
    <x v="7"/>
    <n v="21"/>
    <x v="4"/>
    <s v="weekday"/>
    <x v="14"/>
    <x v="8"/>
  </r>
  <r>
    <n v="531"/>
    <n v="15"/>
    <n v="3"/>
    <n v="10"/>
    <x v="505"/>
    <n v="1"/>
    <x v="7"/>
    <x v="1"/>
    <x v="0"/>
    <n v="8"/>
    <n v="2026"/>
    <x v="2"/>
    <n v="19"/>
    <x v="6"/>
    <s v="weekday"/>
    <x v="0"/>
    <x v="3"/>
  </r>
  <r>
    <n v="532"/>
    <n v="16"/>
    <n v="16"/>
    <n v="2"/>
    <x v="506"/>
    <n v="5"/>
    <x v="6"/>
    <x v="1"/>
    <x v="2"/>
    <n v="9"/>
    <n v="2026"/>
    <x v="3"/>
    <n v="21"/>
    <x v="0"/>
    <s v="weekday"/>
    <x v="12"/>
    <x v="9"/>
  </r>
  <r>
    <n v="533"/>
    <n v="6"/>
    <n v="5"/>
    <n v="3"/>
    <x v="507"/>
    <n v="1"/>
    <x v="1"/>
    <x v="1"/>
    <x v="0"/>
    <n v="9"/>
    <n v="2026"/>
    <x v="4"/>
    <n v="15"/>
    <x v="2"/>
    <s v="Weekend"/>
    <x v="14"/>
    <x v="6"/>
  </r>
  <r>
    <n v="534"/>
    <n v="15"/>
    <n v="17"/>
    <n v="7"/>
    <x v="508"/>
    <n v="3"/>
    <x v="9"/>
    <x v="1"/>
    <x v="0"/>
    <n v="9"/>
    <n v="2026"/>
    <x v="3"/>
    <n v="23"/>
    <x v="5"/>
    <s v="weekday"/>
    <x v="16"/>
    <x v="4"/>
  </r>
  <r>
    <n v="535"/>
    <n v="10"/>
    <n v="2"/>
    <n v="3"/>
    <x v="509"/>
    <n v="2"/>
    <x v="13"/>
    <x v="1"/>
    <x v="0"/>
    <n v="10"/>
    <n v="2026"/>
    <x v="4"/>
    <n v="22"/>
    <x v="1"/>
    <s v="Weekend"/>
    <x v="8"/>
    <x v="6"/>
  </r>
  <r>
    <n v="536"/>
    <n v="20"/>
    <n v="4"/>
    <n v="8"/>
    <x v="510"/>
    <n v="6"/>
    <x v="5"/>
    <x v="1"/>
    <x v="1"/>
    <n v="8"/>
    <n v="2026"/>
    <x v="10"/>
    <n v="20"/>
    <x v="6"/>
    <s v="weekday"/>
    <x v="15"/>
    <x v="7"/>
  </r>
  <r>
    <n v="537"/>
    <n v="6"/>
    <n v="15"/>
    <n v="2"/>
    <x v="511"/>
    <n v="1"/>
    <x v="7"/>
    <x v="1"/>
    <x v="0"/>
    <n v="8"/>
    <n v="2026"/>
    <x v="7"/>
    <n v="20"/>
    <x v="4"/>
    <s v="weekday"/>
    <x v="5"/>
    <x v="9"/>
  </r>
  <r>
    <n v="538"/>
    <n v="2"/>
    <n v="6"/>
    <n v="7"/>
    <x v="512"/>
    <n v="1"/>
    <x v="1"/>
    <x v="1"/>
    <x v="2"/>
    <n v="9"/>
    <n v="2026"/>
    <x v="1"/>
    <n v="22"/>
    <x v="0"/>
    <s v="weekday"/>
    <x v="13"/>
    <x v="4"/>
  </r>
  <r>
    <n v="539"/>
    <n v="6"/>
    <n v="16"/>
    <n v="7"/>
    <x v="513"/>
    <n v="2"/>
    <x v="3"/>
    <x v="1"/>
    <x v="1"/>
    <n v="9"/>
    <n v="2026"/>
    <x v="11"/>
    <n v="23"/>
    <x v="0"/>
    <s v="weekday"/>
    <x v="12"/>
    <x v="4"/>
  </r>
  <r>
    <n v="540"/>
    <n v="6"/>
    <n v="1"/>
    <n v="9"/>
    <x v="514"/>
    <n v="4"/>
    <x v="4"/>
    <x v="1"/>
    <x v="2"/>
    <n v="8"/>
    <n v="2026"/>
    <x v="7"/>
    <n v="19"/>
    <x v="5"/>
    <s v="weekday"/>
    <x v="6"/>
    <x v="2"/>
  </r>
  <r>
    <n v="541"/>
    <n v="12"/>
    <n v="4"/>
    <n v="8"/>
    <x v="515"/>
    <n v="6"/>
    <x v="0"/>
    <x v="1"/>
    <x v="0"/>
    <n v="9"/>
    <n v="2026"/>
    <x v="4"/>
    <n v="22"/>
    <x v="4"/>
    <s v="weekday"/>
    <x v="15"/>
    <x v="7"/>
  </r>
  <r>
    <n v="542"/>
    <n v="8"/>
    <n v="7"/>
    <n v="1"/>
    <x v="516"/>
    <n v="3"/>
    <x v="8"/>
    <x v="1"/>
    <x v="2"/>
    <n v="8"/>
    <n v="2026"/>
    <x v="10"/>
    <n v="16"/>
    <x v="3"/>
    <s v="weekday"/>
    <x v="3"/>
    <x v="5"/>
  </r>
  <r>
    <n v="543"/>
    <n v="11"/>
    <n v="15"/>
    <n v="6"/>
    <x v="517"/>
    <n v="1"/>
    <x v="1"/>
    <x v="1"/>
    <x v="0"/>
    <n v="9"/>
    <n v="2026"/>
    <x v="8"/>
    <n v="23"/>
    <x v="4"/>
    <s v="weekday"/>
    <x v="5"/>
    <x v="0"/>
  </r>
  <r>
    <n v="544"/>
    <n v="3"/>
    <n v="9"/>
    <n v="3"/>
    <x v="15"/>
    <n v="5"/>
    <x v="6"/>
    <x v="1"/>
    <x v="0"/>
    <n v="9"/>
    <n v="2026"/>
    <x v="0"/>
    <n v="18"/>
    <x v="1"/>
    <s v="Weekend"/>
    <x v="10"/>
    <x v="6"/>
  </r>
  <r>
    <n v="545"/>
    <n v="2"/>
    <n v="2"/>
    <n v="5"/>
    <x v="518"/>
    <n v="3"/>
    <x v="9"/>
    <x v="1"/>
    <x v="2"/>
    <n v="9"/>
    <n v="2026"/>
    <x v="0"/>
    <n v="16"/>
    <x v="2"/>
    <s v="Weekend"/>
    <x v="8"/>
    <x v="8"/>
  </r>
  <r>
    <n v="546"/>
    <n v="19"/>
    <n v="1"/>
    <n v="5"/>
    <x v="519"/>
    <n v="4"/>
    <x v="4"/>
    <x v="1"/>
    <x v="2"/>
    <n v="8"/>
    <n v="2026"/>
    <x v="5"/>
    <n v="18"/>
    <x v="5"/>
    <s v="weekday"/>
    <x v="6"/>
    <x v="8"/>
  </r>
  <r>
    <n v="547"/>
    <n v="1"/>
    <n v="12"/>
    <n v="10"/>
    <x v="520"/>
    <n v="2"/>
    <x v="12"/>
    <x v="1"/>
    <x v="2"/>
    <n v="8"/>
    <n v="2026"/>
    <x v="4"/>
    <n v="16"/>
    <x v="0"/>
    <s v="weekday"/>
    <x v="17"/>
    <x v="3"/>
  </r>
  <r>
    <n v="548"/>
    <n v="15"/>
    <n v="3"/>
    <n v="4"/>
    <x v="521"/>
    <n v="1"/>
    <x v="7"/>
    <x v="1"/>
    <x v="1"/>
    <n v="8"/>
    <n v="2026"/>
    <x v="2"/>
    <n v="16"/>
    <x v="5"/>
    <s v="weekday"/>
    <x v="0"/>
    <x v="1"/>
  </r>
  <r>
    <n v="549"/>
    <n v="5"/>
    <n v="1"/>
    <n v="2"/>
    <x v="522"/>
    <n v="3"/>
    <x v="8"/>
    <x v="1"/>
    <x v="0"/>
    <n v="8"/>
    <n v="2026"/>
    <x v="6"/>
    <n v="17"/>
    <x v="5"/>
    <s v="weekday"/>
    <x v="6"/>
    <x v="9"/>
  </r>
  <r>
    <n v="550"/>
    <n v="14"/>
    <n v="2"/>
    <n v="2"/>
    <x v="523"/>
    <n v="2"/>
    <x v="12"/>
    <x v="1"/>
    <x v="1"/>
    <n v="8"/>
    <n v="2026"/>
    <x v="3"/>
    <n v="15"/>
    <x v="0"/>
    <s v="weekday"/>
    <x v="8"/>
    <x v="9"/>
  </r>
  <r>
    <n v="551"/>
    <n v="7"/>
    <n v="7"/>
    <n v="8"/>
    <x v="524"/>
    <n v="1"/>
    <x v="1"/>
    <x v="1"/>
    <x v="1"/>
    <n v="9"/>
    <n v="2026"/>
    <x v="4"/>
    <n v="19"/>
    <x v="1"/>
    <s v="Weekend"/>
    <x v="3"/>
    <x v="7"/>
  </r>
  <r>
    <n v="552"/>
    <n v="7"/>
    <n v="18"/>
    <n v="7"/>
    <x v="525"/>
    <n v="3"/>
    <x v="9"/>
    <x v="1"/>
    <x v="1"/>
    <n v="9"/>
    <n v="2026"/>
    <x v="9"/>
    <n v="21"/>
    <x v="0"/>
    <s v="weekday"/>
    <x v="9"/>
    <x v="4"/>
  </r>
  <r>
    <n v="553"/>
    <n v="4"/>
    <n v="8"/>
    <n v="7"/>
    <x v="526"/>
    <n v="2"/>
    <x v="12"/>
    <x v="1"/>
    <x v="1"/>
    <n v="8"/>
    <n v="2026"/>
    <x v="8"/>
    <n v="15"/>
    <x v="0"/>
    <s v="weekday"/>
    <x v="7"/>
    <x v="4"/>
  </r>
  <r>
    <n v="554"/>
    <n v="3"/>
    <n v="1"/>
    <n v="9"/>
    <x v="527"/>
    <n v="2"/>
    <x v="3"/>
    <x v="1"/>
    <x v="1"/>
    <n v="9"/>
    <n v="2026"/>
    <x v="3"/>
    <n v="17"/>
    <x v="1"/>
    <s v="Weekend"/>
    <x v="6"/>
    <x v="2"/>
  </r>
  <r>
    <n v="555"/>
    <n v="7"/>
    <n v="13"/>
    <n v="7"/>
    <x v="528"/>
    <n v="6"/>
    <x v="5"/>
    <x v="1"/>
    <x v="2"/>
    <n v="8"/>
    <n v="2026"/>
    <x v="6"/>
    <n v="18"/>
    <x v="5"/>
    <s v="weekday"/>
    <x v="11"/>
    <x v="4"/>
  </r>
  <r>
    <n v="556"/>
    <n v="9"/>
    <n v="10"/>
    <n v="2"/>
    <x v="529"/>
    <n v="5"/>
    <x v="11"/>
    <x v="1"/>
    <x v="1"/>
    <n v="8"/>
    <n v="2026"/>
    <x v="9"/>
    <n v="16"/>
    <x v="5"/>
    <s v="weekday"/>
    <x v="1"/>
    <x v="9"/>
  </r>
  <r>
    <n v="557"/>
    <n v="2"/>
    <n v="18"/>
    <n v="9"/>
    <x v="104"/>
    <n v="6"/>
    <x v="0"/>
    <x v="1"/>
    <x v="1"/>
    <n v="9"/>
    <n v="2026"/>
    <x v="8"/>
    <n v="22"/>
    <x v="3"/>
    <s v="weekday"/>
    <x v="9"/>
    <x v="2"/>
  </r>
  <r>
    <n v="558"/>
    <n v="13"/>
    <n v="10"/>
    <n v="6"/>
    <x v="530"/>
    <n v="1"/>
    <x v="7"/>
    <x v="1"/>
    <x v="0"/>
    <n v="8"/>
    <n v="2026"/>
    <x v="1"/>
    <n v="14"/>
    <x v="6"/>
    <s v="weekday"/>
    <x v="1"/>
    <x v="0"/>
  </r>
  <r>
    <n v="559"/>
    <n v="13"/>
    <n v="13"/>
    <n v="7"/>
    <x v="531"/>
    <n v="6"/>
    <x v="0"/>
    <x v="1"/>
    <x v="2"/>
    <n v="9"/>
    <n v="2026"/>
    <x v="8"/>
    <n v="17"/>
    <x v="1"/>
    <s v="Weekend"/>
    <x v="11"/>
    <x v="4"/>
  </r>
  <r>
    <n v="560"/>
    <n v="19"/>
    <n v="3"/>
    <n v="1"/>
    <x v="532"/>
    <n v="6"/>
    <x v="0"/>
    <x v="1"/>
    <x v="2"/>
    <n v="9"/>
    <n v="2026"/>
    <x v="6"/>
    <n v="23"/>
    <x v="3"/>
    <s v="weekday"/>
    <x v="0"/>
    <x v="5"/>
  </r>
  <r>
    <n v="561"/>
    <n v="4"/>
    <n v="11"/>
    <n v="10"/>
    <x v="533"/>
    <n v="3"/>
    <x v="9"/>
    <x v="1"/>
    <x v="2"/>
    <n v="9"/>
    <n v="2026"/>
    <x v="1"/>
    <n v="21"/>
    <x v="3"/>
    <s v="weekday"/>
    <x v="19"/>
    <x v="3"/>
  </r>
  <r>
    <n v="562"/>
    <n v="17"/>
    <n v="10"/>
    <n v="3"/>
    <x v="534"/>
    <n v="6"/>
    <x v="0"/>
    <x v="1"/>
    <x v="0"/>
    <n v="9"/>
    <n v="2026"/>
    <x v="1"/>
    <n v="20"/>
    <x v="1"/>
    <s v="Weekend"/>
    <x v="1"/>
    <x v="6"/>
  </r>
  <r>
    <n v="563"/>
    <n v="3"/>
    <n v="14"/>
    <n v="8"/>
    <x v="535"/>
    <n v="1"/>
    <x v="1"/>
    <x v="1"/>
    <x v="0"/>
    <n v="9"/>
    <n v="2026"/>
    <x v="11"/>
    <n v="14"/>
    <x v="1"/>
    <s v="Weekend"/>
    <x v="2"/>
    <x v="7"/>
  </r>
  <r>
    <n v="564"/>
    <n v="10"/>
    <n v="13"/>
    <n v="5"/>
    <x v="536"/>
    <n v="1"/>
    <x v="15"/>
    <x v="1"/>
    <x v="2"/>
    <n v="10"/>
    <n v="2026"/>
    <x v="10"/>
    <n v="23"/>
    <x v="1"/>
    <s v="Weekend"/>
    <x v="11"/>
    <x v="8"/>
  </r>
  <r>
    <n v="565"/>
    <n v="7"/>
    <n v="6"/>
    <n v="5"/>
    <x v="537"/>
    <n v="1"/>
    <x v="7"/>
    <x v="0"/>
    <x v="2"/>
    <n v="8"/>
    <n v="2026"/>
    <x v="9"/>
    <n v="17"/>
    <x v="0"/>
    <s v="weekday"/>
    <x v="13"/>
    <x v="8"/>
  </r>
  <r>
    <n v="566"/>
    <n v="15"/>
    <n v="4"/>
    <n v="1"/>
    <x v="538"/>
    <n v="3"/>
    <x v="9"/>
    <x v="1"/>
    <x v="2"/>
    <n v="9"/>
    <n v="2026"/>
    <x v="4"/>
    <n v="22"/>
    <x v="5"/>
    <s v="weekday"/>
    <x v="15"/>
    <x v="5"/>
  </r>
  <r>
    <n v="567"/>
    <n v="12"/>
    <n v="7"/>
    <n v="3"/>
    <x v="539"/>
    <n v="3"/>
    <x v="8"/>
    <x v="1"/>
    <x v="1"/>
    <n v="8"/>
    <n v="2026"/>
    <x v="8"/>
    <n v="19"/>
    <x v="0"/>
    <s v="weekday"/>
    <x v="3"/>
    <x v="6"/>
  </r>
  <r>
    <n v="568"/>
    <n v="2"/>
    <n v="19"/>
    <n v="9"/>
    <x v="540"/>
    <n v="1"/>
    <x v="15"/>
    <x v="1"/>
    <x v="1"/>
    <n v="10"/>
    <n v="2026"/>
    <x v="8"/>
    <n v="23"/>
    <x v="1"/>
    <s v="Weekend"/>
    <x v="18"/>
    <x v="2"/>
  </r>
  <r>
    <n v="569"/>
    <n v="20"/>
    <n v="8"/>
    <n v="10"/>
    <x v="541"/>
    <n v="4"/>
    <x v="2"/>
    <x v="1"/>
    <x v="1"/>
    <n v="9"/>
    <n v="2026"/>
    <x v="8"/>
    <n v="22"/>
    <x v="6"/>
    <s v="weekday"/>
    <x v="7"/>
    <x v="3"/>
  </r>
  <r>
    <n v="570"/>
    <n v="7"/>
    <n v="19"/>
    <n v="9"/>
    <x v="542"/>
    <n v="5"/>
    <x v="6"/>
    <x v="1"/>
    <x v="1"/>
    <n v="9"/>
    <n v="2026"/>
    <x v="6"/>
    <n v="21"/>
    <x v="6"/>
    <s v="weekday"/>
    <x v="18"/>
    <x v="2"/>
  </r>
  <r>
    <n v="571"/>
    <n v="15"/>
    <n v="7"/>
    <n v="3"/>
    <x v="543"/>
    <n v="2"/>
    <x v="13"/>
    <x v="1"/>
    <x v="2"/>
    <n v="10"/>
    <n v="2026"/>
    <x v="8"/>
    <n v="23"/>
    <x v="1"/>
    <s v="Weekend"/>
    <x v="3"/>
    <x v="6"/>
  </r>
  <r>
    <n v="572"/>
    <n v="15"/>
    <n v="15"/>
    <n v="5"/>
    <x v="544"/>
    <n v="4"/>
    <x v="2"/>
    <x v="1"/>
    <x v="2"/>
    <n v="9"/>
    <n v="2026"/>
    <x v="4"/>
    <n v="15"/>
    <x v="2"/>
    <s v="Weekend"/>
    <x v="5"/>
    <x v="8"/>
  </r>
  <r>
    <n v="573"/>
    <n v="6"/>
    <n v="16"/>
    <n v="4"/>
    <x v="545"/>
    <n v="5"/>
    <x v="11"/>
    <x v="1"/>
    <x v="0"/>
    <n v="8"/>
    <n v="2026"/>
    <x v="4"/>
    <n v="18"/>
    <x v="0"/>
    <s v="weekday"/>
    <x v="12"/>
    <x v="1"/>
  </r>
  <r>
    <n v="574"/>
    <n v="2"/>
    <n v="9"/>
    <n v="1"/>
    <x v="546"/>
    <n v="5"/>
    <x v="6"/>
    <x v="1"/>
    <x v="1"/>
    <n v="9"/>
    <n v="2026"/>
    <x v="6"/>
    <n v="21"/>
    <x v="6"/>
    <s v="weekday"/>
    <x v="10"/>
    <x v="5"/>
  </r>
  <r>
    <n v="575"/>
    <n v="8"/>
    <n v="7"/>
    <n v="2"/>
    <x v="547"/>
    <n v="5"/>
    <x v="11"/>
    <x v="1"/>
    <x v="1"/>
    <n v="8"/>
    <n v="2026"/>
    <x v="7"/>
    <n v="15"/>
    <x v="3"/>
    <s v="weekday"/>
    <x v="3"/>
    <x v="9"/>
  </r>
  <r>
    <n v="576"/>
    <n v="6"/>
    <n v="1"/>
    <n v="1"/>
    <x v="548"/>
    <n v="2"/>
    <x v="3"/>
    <x v="1"/>
    <x v="2"/>
    <n v="9"/>
    <n v="2026"/>
    <x v="3"/>
    <n v="15"/>
    <x v="1"/>
    <s v="Weekend"/>
    <x v="6"/>
    <x v="5"/>
  </r>
  <r>
    <n v="577"/>
    <n v="9"/>
    <n v="14"/>
    <n v="3"/>
    <x v="549"/>
    <n v="2"/>
    <x v="12"/>
    <x v="1"/>
    <x v="1"/>
    <n v="8"/>
    <n v="2026"/>
    <x v="5"/>
    <n v="15"/>
    <x v="5"/>
    <s v="weekday"/>
    <x v="2"/>
    <x v="6"/>
  </r>
  <r>
    <n v="578"/>
    <n v="17"/>
    <n v="4"/>
    <n v="6"/>
    <x v="550"/>
    <n v="2"/>
    <x v="13"/>
    <x v="1"/>
    <x v="2"/>
    <n v="10"/>
    <n v="2026"/>
    <x v="1"/>
    <n v="21"/>
    <x v="1"/>
    <s v="Weekend"/>
    <x v="15"/>
    <x v="0"/>
  </r>
  <r>
    <n v="579"/>
    <n v="7"/>
    <n v="1"/>
    <n v="3"/>
    <x v="551"/>
    <n v="1"/>
    <x v="1"/>
    <x v="0"/>
    <x v="0"/>
    <n v="9"/>
    <n v="2026"/>
    <x v="8"/>
    <n v="21"/>
    <x v="4"/>
    <s v="weekday"/>
    <x v="6"/>
    <x v="6"/>
  </r>
  <r>
    <n v="580"/>
    <n v="4"/>
    <n v="18"/>
    <n v="3"/>
    <x v="552"/>
    <n v="1"/>
    <x v="1"/>
    <x v="1"/>
    <x v="2"/>
    <n v="9"/>
    <n v="2026"/>
    <x v="5"/>
    <n v="22"/>
    <x v="4"/>
    <s v="weekday"/>
    <x v="9"/>
    <x v="6"/>
  </r>
  <r>
    <n v="581"/>
    <n v="12"/>
    <n v="5"/>
    <n v="2"/>
    <x v="553"/>
    <n v="6"/>
    <x v="14"/>
    <x v="1"/>
    <x v="0"/>
    <n v="10"/>
    <n v="2026"/>
    <x v="8"/>
    <n v="23"/>
    <x v="2"/>
    <s v="Weekend"/>
    <x v="14"/>
    <x v="9"/>
  </r>
  <r>
    <n v="582"/>
    <n v="16"/>
    <n v="8"/>
    <n v="3"/>
    <x v="554"/>
    <n v="6"/>
    <x v="0"/>
    <x v="1"/>
    <x v="1"/>
    <n v="9"/>
    <n v="2026"/>
    <x v="0"/>
    <n v="18"/>
    <x v="2"/>
    <s v="Weekend"/>
    <x v="7"/>
    <x v="6"/>
  </r>
  <r>
    <n v="583"/>
    <n v="20"/>
    <n v="9"/>
    <n v="10"/>
    <x v="555"/>
    <n v="2"/>
    <x v="3"/>
    <x v="1"/>
    <x v="2"/>
    <n v="9"/>
    <n v="2026"/>
    <x v="3"/>
    <n v="23"/>
    <x v="5"/>
    <s v="weekday"/>
    <x v="10"/>
    <x v="3"/>
  </r>
  <r>
    <n v="584"/>
    <n v="11"/>
    <n v="20"/>
    <n v="3"/>
    <x v="556"/>
    <n v="2"/>
    <x v="12"/>
    <x v="1"/>
    <x v="2"/>
    <n v="8"/>
    <n v="2026"/>
    <x v="6"/>
    <n v="16"/>
    <x v="4"/>
    <s v="weekday"/>
    <x v="4"/>
    <x v="6"/>
  </r>
  <r>
    <n v="585"/>
    <n v="7"/>
    <n v="4"/>
    <n v="8"/>
    <x v="557"/>
    <n v="1"/>
    <x v="1"/>
    <x v="1"/>
    <x v="1"/>
    <n v="9"/>
    <n v="2026"/>
    <x v="0"/>
    <n v="21"/>
    <x v="5"/>
    <s v="weekday"/>
    <x v="15"/>
    <x v="7"/>
  </r>
  <r>
    <n v="586"/>
    <n v="7"/>
    <n v="2"/>
    <n v="9"/>
    <x v="558"/>
    <n v="4"/>
    <x v="2"/>
    <x v="1"/>
    <x v="2"/>
    <n v="9"/>
    <n v="2026"/>
    <x v="0"/>
    <n v="22"/>
    <x v="0"/>
    <s v="weekday"/>
    <x v="8"/>
    <x v="2"/>
  </r>
  <r>
    <n v="587"/>
    <n v="11"/>
    <n v="17"/>
    <n v="4"/>
    <x v="559"/>
    <n v="5"/>
    <x v="6"/>
    <x v="1"/>
    <x v="0"/>
    <n v="9"/>
    <n v="2026"/>
    <x v="2"/>
    <n v="23"/>
    <x v="4"/>
    <s v="weekday"/>
    <x v="16"/>
    <x v="1"/>
  </r>
  <r>
    <n v="588"/>
    <n v="15"/>
    <n v="17"/>
    <n v="6"/>
    <x v="560"/>
    <n v="4"/>
    <x v="2"/>
    <x v="1"/>
    <x v="0"/>
    <n v="9"/>
    <n v="2026"/>
    <x v="4"/>
    <n v="22"/>
    <x v="4"/>
    <s v="weekday"/>
    <x v="16"/>
    <x v="0"/>
  </r>
  <r>
    <n v="589"/>
    <n v="14"/>
    <n v="16"/>
    <n v="5"/>
    <x v="561"/>
    <n v="5"/>
    <x v="11"/>
    <x v="1"/>
    <x v="0"/>
    <n v="8"/>
    <n v="2026"/>
    <x v="3"/>
    <n v="18"/>
    <x v="3"/>
    <s v="weekday"/>
    <x v="12"/>
    <x v="8"/>
  </r>
  <r>
    <n v="590"/>
    <n v="9"/>
    <n v="8"/>
    <n v="10"/>
    <x v="562"/>
    <n v="4"/>
    <x v="4"/>
    <x v="1"/>
    <x v="0"/>
    <n v="8"/>
    <n v="2026"/>
    <x v="6"/>
    <n v="16"/>
    <x v="4"/>
    <s v="weekday"/>
    <x v="7"/>
    <x v="3"/>
  </r>
  <r>
    <n v="591"/>
    <n v="11"/>
    <n v="11"/>
    <n v="7"/>
    <x v="563"/>
    <n v="3"/>
    <x v="8"/>
    <x v="1"/>
    <x v="0"/>
    <n v="8"/>
    <n v="2026"/>
    <x v="11"/>
    <n v="15"/>
    <x v="0"/>
    <s v="weekday"/>
    <x v="19"/>
    <x v="4"/>
  </r>
  <r>
    <n v="592"/>
    <n v="18"/>
    <n v="5"/>
    <n v="3"/>
    <x v="564"/>
    <n v="2"/>
    <x v="13"/>
    <x v="1"/>
    <x v="0"/>
    <n v="10"/>
    <n v="2026"/>
    <x v="1"/>
    <n v="23"/>
    <x v="1"/>
    <s v="Weekend"/>
    <x v="14"/>
    <x v="6"/>
  </r>
  <r>
    <n v="593"/>
    <n v="11"/>
    <n v="7"/>
    <n v="7"/>
    <x v="565"/>
    <n v="3"/>
    <x v="8"/>
    <x v="1"/>
    <x v="1"/>
    <n v="8"/>
    <n v="2026"/>
    <x v="4"/>
    <n v="17"/>
    <x v="4"/>
    <s v="weekday"/>
    <x v="3"/>
    <x v="4"/>
  </r>
  <r>
    <n v="594"/>
    <n v="13"/>
    <n v="19"/>
    <n v="10"/>
    <x v="566"/>
    <n v="3"/>
    <x v="8"/>
    <x v="1"/>
    <x v="0"/>
    <n v="8"/>
    <n v="2026"/>
    <x v="5"/>
    <n v="20"/>
    <x v="3"/>
    <s v="weekday"/>
    <x v="18"/>
    <x v="3"/>
  </r>
  <r>
    <n v="595"/>
    <n v="1"/>
    <n v="5"/>
    <n v="1"/>
    <x v="567"/>
    <n v="4"/>
    <x v="2"/>
    <x v="1"/>
    <x v="1"/>
    <n v="9"/>
    <n v="2026"/>
    <x v="10"/>
    <n v="18"/>
    <x v="2"/>
    <s v="Weekend"/>
    <x v="14"/>
    <x v="5"/>
  </r>
  <r>
    <n v="596"/>
    <n v="9"/>
    <n v="16"/>
    <n v="6"/>
    <x v="568"/>
    <n v="1"/>
    <x v="7"/>
    <x v="1"/>
    <x v="1"/>
    <n v="8"/>
    <n v="2026"/>
    <x v="10"/>
    <n v="14"/>
    <x v="6"/>
    <s v="weekday"/>
    <x v="12"/>
    <x v="0"/>
  </r>
  <r>
    <n v="597"/>
    <n v="13"/>
    <n v="1"/>
    <n v="9"/>
    <x v="569"/>
    <n v="4"/>
    <x v="11"/>
    <x v="1"/>
    <x v="0"/>
    <n v="10"/>
    <n v="2026"/>
    <x v="3"/>
    <n v="21"/>
    <x v="1"/>
    <s v="Weekend"/>
    <x v="6"/>
    <x v="2"/>
  </r>
  <r>
    <n v="598"/>
    <n v="7"/>
    <n v="5"/>
    <n v="2"/>
    <x v="570"/>
    <n v="5"/>
    <x v="11"/>
    <x v="1"/>
    <x v="0"/>
    <n v="8"/>
    <n v="2026"/>
    <x v="10"/>
    <n v="16"/>
    <x v="4"/>
    <s v="weekday"/>
    <x v="14"/>
    <x v="9"/>
  </r>
  <r>
    <n v="599"/>
    <n v="12"/>
    <n v="11"/>
    <n v="2"/>
    <x v="571"/>
    <n v="3"/>
    <x v="8"/>
    <x v="0"/>
    <x v="1"/>
    <n v="8"/>
    <n v="2026"/>
    <x v="10"/>
    <n v="16"/>
    <x v="6"/>
    <s v="weekday"/>
    <x v="19"/>
    <x v="9"/>
  </r>
  <r>
    <n v="600"/>
    <n v="9"/>
    <n v="10"/>
    <n v="5"/>
    <x v="572"/>
    <n v="1"/>
    <x v="1"/>
    <x v="1"/>
    <x v="2"/>
    <n v="9"/>
    <n v="2026"/>
    <x v="6"/>
    <n v="20"/>
    <x v="2"/>
    <s v="Weekend"/>
    <x v="1"/>
    <x v="8"/>
  </r>
  <r>
    <n v="601"/>
    <n v="18"/>
    <n v="15"/>
    <n v="4"/>
    <x v="573"/>
    <n v="2"/>
    <x v="12"/>
    <x v="1"/>
    <x v="1"/>
    <n v="8"/>
    <n v="2026"/>
    <x v="6"/>
    <n v="14"/>
    <x v="5"/>
    <s v="weekday"/>
    <x v="5"/>
    <x v="1"/>
  </r>
  <r>
    <n v="602"/>
    <n v="10"/>
    <n v="12"/>
    <n v="6"/>
    <x v="574"/>
    <n v="3"/>
    <x v="10"/>
    <x v="1"/>
    <x v="0"/>
    <n v="10"/>
    <n v="2026"/>
    <x v="8"/>
    <n v="23"/>
    <x v="2"/>
    <s v="Weekend"/>
    <x v="17"/>
    <x v="0"/>
  </r>
  <r>
    <n v="603"/>
    <n v="13"/>
    <n v="20"/>
    <n v="9"/>
    <x v="575"/>
    <n v="3"/>
    <x v="8"/>
    <x v="1"/>
    <x v="0"/>
    <n v="8"/>
    <n v="2026"/>
    <x v="9"/>
    <n v="14"/>
    <x v="6"/>
    <s v="weekday"/>
    <x v="4"/>
    <x v="2"/>
  </r>
  <r>
    <n v="604"/>
    <n v="1"/>
    <n v="19"/>
    <n v="4"/>
    <x v="576"/>
    <n v="1"/>
    <x v="7"/>
    <x v="1"/>
    <x v="0"/>
    <n v="8"/>
    <n v="2026"/>
    <x v="3"/>
    <n v="14"/>
    <x v="3"/>
    <s v="weekday"/>
    <x v="18"/>
    <x v="1"/>
  </r>
  <r>
    <n v="605"/>
    <n v="14"/>
    <n v="18"/>
    <n v="8"/>
    <x v="577"/>
    <n v="4"/>
    <x v="2"/>
    <x v="1"/>
    <x v="2"/>
    <n v="9"/>
    <n v="2026"/>
    <x v="1"/>
    <n v="19"/>
    <x v="2"/>
    <s v="Weekend"/>
    <x v="9"/>
    <x v="7"/>
  </r>
  <r>
    <n v="606"/>
    <n v="16"/>
    <n v="12"/>
    <n v="5"/>
    <x v="578"/>
    <n v="3"/>
    <x v="9"/>
    <x v="1"/>
    <x v="0"/>
    <n v="9"/>
    <n v="2026"/>
    <x v="10"/>
    <n v="18"/>
    <x v="1"/>
    <s v="Weekend"/>
    <x v="17"/>
    <x v="8"/>
  </r>
  <r>
    <n v="607"/>
    <n v="12"/>
    <n v="10"/>
    <n v="1"/>
    <x v="579"/>
    <n v="2"/>
    <x v="12"/>
    <x v="0"/>
    <x v="2"/>
    <n v="8"/>
    <n v="2026"/>
    <x v="11"/>
    <n v="14"/>
    <x v="5"/>
    <s v="weekday"/>
    <x v="1"/>
    <x v="5"/>
  </r>
  <r>
    <n v="608"/>
    <n v="8"/>
    <n v="9"/>
    <n v="3"/>
    <x v="580"/>
    <n v="2"/>
    <x v="12"/>
    <x v="1"/>
    <x v="0"/>
    <n v="8"/>
    <n v="2026"/>
    <x v="1"/>
    <n v="20"/>
    <x v="5"/>
    <s v="weekday"/>
    <x v="10"/>
    <x v="6"/>
  </r>
  <r>
    <n v="609"/>
    <n v="18"/>
    <n v="6"/>
    <n v="6"/>
    <x v="581"/>
    <n v="3"/>
    <x v="8"/>
    <x v="1"/>
    <x v="1"/>
    <n v="8"/>
    <n v="2026"/>
    <x v="3"/>
    <n v="19"/>
    <x v="4"/>
    <s v="weekday"/>
    <x v="13"/>
    <x v="0"/>
  </r>
  <r>
    <n v="610"/>
    <n v="8"/>
    <n v="13"/>
    <n v="6"/>
    <x v="582"/>
    <n v="2"/>
    <x v="12"/>
    <x v="1"/>
    <x v="0"/>
    <n v="8"/>
    <n v="2026"/>
    <x v="10"/>
    <n v="19"/>
    <x v="5"/>
    <s v="weekday"/>
    <x v="11"/>
    <x v="0"/>
  </r>
  <r>
    <n v="611"/>
    <n v="15"/>
    <n v="11"/>
    <n v="3"/>
    <x v="583"/>
    <n v="1"/>
    <x v="7"/>
    <x v="1"/>
    <x v="0"/>
    <n v="8"/>
    <n v="2026"/>
    <x v="5"/>
    <n v="15"/>
    <x v="6"/>
    <s v="weekday"/>
    <x v="19"/>
    <x v="6"/>
  </r>
  <r>
    <n v="612"/>
    <n v="11"/>
    <n v="10"/>
    <n v="7"/>
    <x v="584"/>
    <n v="4"/>
    <x v="4"/>
    <x v="0"/>
    <x v="0"/>
    <n v="8"/>
    <n v="2026"/>
    <x v="6"/>
    <n v="17"/>
    <x v="3"/>
    <s v="weekday"/>
    <x v="1"/>
    <x v="4"/>
  </r>
  <r>
    <n v="613"/>
    <n v="8"/>
    <n v="11"/>
    <n v="10"/>
    <x v="585"/>
    <n v="5"/>
    <x v="16"/>
    <x v="1"/>
    <x v="2"/>
    <n v="10"/>
    <n v="2026"/>
    <x v="0"/>
    <n v="23"/>
    <x v="2"/>
    <s v="Weekend"/>
    <x v="19"/>
    <x v="3"/>
  </r>
  <r>
    <n v="614"/>
    <n v="3"/>
    <n v="4"/>
    <n v="9"/>
    <x v="586"/>
    <n v="1"/>
    <x v="7"/>
    <x v="1"/>
    <x v="1"/>
    <n v="8"/>
    <n v="2026"/>
    <x v="9"/>
    <n v="20"/>
    <x v="4"/>
    <s v="weekday"/>
    <x v="15"/>
    <x v="2"/>
  </r>
  <r>
    <n v="615"/>
    <n v="8"/>
    <n v="1"/>
    <n v="3"/>
    <x v="587"/>
    <n v="4"/>
    <x v="2"/>
    <x v="1"/>
    <x v="1"/>
    <n v="9"/>
    <n v="2026"/>
    <x v="1"/>
    <n v="22"/>
    <x v="0"/>
    <s v="weekday"/>
    <x v="6"/>
    <x v="6"/>
  </r>
  <r>
    <n v="616"/>
    <n v="1"/>
    <n v="2"/>
    <n v="1"/>
    <x v="588"/>
    <n v="4"/>
    <x v="2"/>
    <x v="1"/>
    <x v="0"/>
    <n v="9"/>
    <n v="2026"/>
    <x v="6"/>
    <n v="21"/>
    <x v="4"/>
    <s v="weekday"/>
    <x v="8"/>
    <x v="5"/>
  </r>
  <r>
    <n v="617"/>
    <n v="3"/>
    <n v="11"/>
    <n v="1"/>
    <x v="589"/>
    <n v="6"/>
    <x v="5"/>
    <x v="1"/>
    <x v="0"/>
    <n v="8"/>
    <n v="2026"/>
    <x v="11"/>
    <n v="18"/>
    <x v="6"/>
    <s v="weekday"/>
    <x v="19"/>
    <x v="5"/>
  </r>
  <r>
    <n v="618"/>
    <n v="7"/>
    <n v="20"/>
    <n v="8"/>
    <x v="590"/>
    <n v="1"/>
    <x v="1"/>
    <x v="1"/>
    <x v="2"/>
    <n v="9"/>
    <n v="2026"/>
    <x v="9"/>
    <n v="22"/>
    <x v="6"/>
    <s v="weekday"/>
    <x v="4"/>
    <x v="7"/>
  </r>
  <r>
    <n v="619"/>
    <n v="15"/>
    <n v="9"/>
    <n v="3"/>
    <x v="425"/>
    <n v="5"/>
    <x v="11"/>
    <x v="1"/>
    <x v="1"/>
    <n v="8"/>
    <n v="2026"/>
    <x v="6"/>
    <n v="20"/>
    <x v="3"/>
    <s v="weekday"/>
    <x v="10"/>
    <x v="6"/>
  </r>
  <r>
    <n v="620"/>
    <n v="17"/>
    <n v="17"/>
    <n v="4"/>
    <x v="591"/>
    <n v="4"/>
    <x v="4"/>
    <x v="1"/>
    <x v="1"/>
    <n v="8"/>
    <n v="2026"/>
    <x v="6"/>
    <n v="14"/>
    <x v="0"/>
    <s v="weekday"/>
    <x v="16"/>
    <x v="1"/>
  </r>
  <r>
    <n v="621"/>
    <n v="18"/>
    <n v="2"/>
    <n v="7"/>
    <x v="592"/>
    <n v="4"/>
    <x v="4"/>
    <x v="1"/>
    <x v="0"/>
    <n v="8"/>
    <n v="2026"/>
    <x v="11"/>
    <n v="20"/>
    <x v="4"/>
    <s v="weekday"/>
    <x v="8"/>
    <x v="4"/>
  </r>
  <r>
    <n v="622"/>
    <n v="10"/>
    <n v="14"/>
    <n v="2"/>
    <x v="593"/>
    <n v="1"/>
    <x v="1"/>
    <x v="1"/>
    <x v="2"/>
    <n v="9"/>
    <n v="2026"/>
    <x v="8"/>
    <n v="22"/>
    <x v="3"/>
    <s v="weekday"/>
    <x v="2"/>
    <x v="9"/>
  </r>
  <r>
    <n v="623"/>
    <n v="14"/>
    <n v="4"/>
    <n v="4"/>
    <x v="594"/>
    <n v="6"/>
    <x v="5"/>
    <x v="1"/>
    <x v="1"/>
    <n v="8"/>
    <n v="2026"/>
    <x v="7"/>
    <n v="19"/>
    <x v="0"/>
    <s v="weekday"/>
    <x v="15"/>
    <x v="1"/>
  </r>
  <r>
    <n v="624"/>
    <n v="12"/>
    <n v="18"/>
    <n v="2"/>
    <x v="595"/>
    <n v="1"/>
    <x v="7"/>
    <x v="1"/>
    <x v="1"/>
    <n v="8"/>
    <n v="2026"/>
    <x v="10"/>
    <n v="19"/>
    <x v="0"/>
    <s v="weekday"/>
    <x v="9"/>
    <x v="9"/>
  </r>
  <r>
    <n v="625"/>
    <n v="8"/>
    <n v="7"/>
    <n v="9"/>
    <x v="596"/>
    <n v="3"/>
    <x v="8"/>
    <x v="1"/>
    <x v="2"/>
    <n v="8"/>
    <n v="2026"/>
    <x v="11"/>
    <n v="19"/>
    <x v="0"/>
    <s v="weekday"/>
    <x v="3"/>
    <x v="2"/>
  </r>
  <r>
    <n v="626"/>
    <n v="1"/>
    <n v="19"/>
    <n v="9"/>
    <x v="597"/>
    <n v="6"/>
    <x v="0"/>
    <x v="1"/>
    <x v="2"/>
    <n v="9"/>
    <n v="2026"/>
    <x v="4"/>
    <n v="14"/>
    <x v="2"/>
    <s v="Weekend"/>
    <x v="18"/>
    <x v="2"/>
  </r>
  <r>
    <n v="627"/>
    <n v="14"/>
    <n v="11"/>
    <n v="6"/>
    <x v="598"/>
    <n v="1"/>
    <x v="1"/>
    <x v="1"/>
    <x v="1"/>
    <n v="9"/>
    <n v="2026"/>
    <x v="7"/>
    <n v="17"/>
    <x v="1"/>
    <s v="Weekend"/>
    <x v="19"/>
    <x v="0"/>
  </r>
  <r>
    <n v="628"/>
    <n v="16"/>
    <n v="6"/>
    <n v="10"/>
    <x v="599"/>
    <n v="5"/>
    <x v="6"/>
    <x v="1"/>
    <x v="0"/>
    <n v="9"/>
    <n v="2026"/>
    <x v="9"/>
    <n v="19"/>
    <x v="2"/>
    <s v="Weekend"/>
    <x v="13"/>
    <x v="3"/>
  </r>
  <r>
    <n v="629"/>
    <n v="9"/>
    <n v="2"/>
    <n v="5"/>
    <x v="600"/>
    <n v="1"/>
    <x v="1"/>
    <x v="0"/>
    <x v="1"/>
    <n v="9"/>
    <n v="2026"/>
    <x v="11"/>
    <n v="16"/>
    <x v="1"/>
    <s v="Weekend"/>
    <x v="8"/>
    <x v="8"/>
  </r>
  <r>
    <n v="630"/>
    <n v="9"/>
    <n v="13"/>
    <n v="7"/>
    <x v="601"/>
    <n v="6"/>
    <x v="0"/>
    <x v="1"/>
    <x v="0"/>
    <n v="9"/>
    <n v="2026"/>
    <x v="10"/>
    <n v="15"/>
    <x v="1"/>
    <s v="Weekend"/>
    <x v="11"/>
    <x v="4"/>
  </r>
  <r>
    <n v="631"/>
    <n v="4"/>
    <n v="3"/>
    <n v="2"/>
    <x v="602"/>
    <n v="2"/>
    <x v="12"/>
    <x v="1"/>
    <x v="2"/>
    <n v="8"/>
    <n v="2026"/>
    <x v="1"/>
    <n v="17"/>
    <x v="6"/>
    <s v="weekday"/>
    <x v="0"/>
    <x v="9"/>
  </r>
  <r>
    <n v="632"/>
    <n v="3"/>
    <n v="17"/>
    <n v="3"/>
    <x v="603"/>
    <n v="6"/>
    <x v="0"/>
    <x v="1"/>
    <x v="0"/>
    <n v="9"/>
    <n v="2026"/>
    <x v="4"/>
    <n v="23"/>
    <x v="4"/>
    <s v="weekday"/>
    <x v="16"/>
    <x v="6"/>
  </r>
  <r>
    <n v="633"/>
    <n v="11"/>
    <n v="18"/>
    <n v="5"/>
    <x v="604"/>
    <n v="2"/>
    <x v="13"/>
    <x v="1"/>
    <x v="0"/>
    <n v="10"/>
    <n v="2026"/>
    <x v="0"/>
    <n v="21"/>
    <x v="1"/>
    <s v="Weekend"/>
    <x v="9"/>
    <x v="8"/>
  </r>
  <r>
    <n v="634"/>
    <n v="15"/>
    <n v="10"/>
    <n v="1"/>
    <x v="605"/>
    <n v="2"/>
    <x v="12"/>
    <x v="1"/>
    <x v="1"/>
    <n v="8"/>
    <n v="2026"/>
    <x v="4"/>
    <n v="18"/>
    <x v="4"/>
    <s v="weekday"/>
    <x v="1"/>
    <x v="5"/>
  </r>
  <r>
    <n v="635"/>
    <n v="10"/>
    <n v="12"/>
    <n v="6"/>
    <x v="606"/>
    <n v="2"/>
    <x v="12"/>
    <x v="1"/>
    <x v="1"/>
    <n v="8"/>
    <n v="2026"/>
    <x v="5"/>
    <n v="19"/>
    <x v="6"/>
    <s v="weekday"/>
    <x v="17"/>
    <x v="0"/>
  </r>
  <r>
    <n v="636"/>
    <n v="16"/>
    <n v="11"/>
    <n v="6"/>
    <x v="607"/>
    <n v="6"/>
    <x v="0"/>
    <x v="1"/>
    <x v="1"/>
    <n v="9"/>
    <n v="2026"/>
    <x v="1"/>
    <n v="23"/>
    <x v="3"/>
    <s v="weekday"/>
    <x v="19"/>
    <x v="0"/>
  </r>
  <r>
    <n v="637"/>
    <n v="3"/>
    <n v="6"/>
    <n v="10"/>
    <x v="608"/>
    <n v="1"/>
    <x v="7"/>
    <x v="1"/>
    <x v="0"/>
    <n v="8"/>
    <n v="2026"/>
    <x v="2"/>
    <n v="16"/>
    <x v="5"/>
    <s v="weekday"/>
    <x v="13"/>
    <x v="3"/>
  </r>
  <r>
    <n v="638"/>
    <n v="14"/>
    <n v="13"/>
    <n v="9"/>
    <x v="609"/>
    <n v="2"/>
    <x v="3"/>
    <x v="1"/>
    <x v="0"/>
    <n v="9"/>
    <n v="2026"/>
    <x v="1"/>
    <n v="18"/>
    <x v="1"/>
    <s v="Weekend"/>
    <x v="11"/>
    <x v="2"/>
  </r>
  <r>
    <n v="639"/>
    <n v="14"/>
    <n v="18"/>
    <n v="6"/>
    <x v="610"/>
    <n v="2"/>
    <x v="3"/>
    <x v="1"/>
    <x v="2"/>
    <n v="9"/>
    <n v="2026"/>
    <x v="3"/>
    <n v="18"/>
    <x v="1"/>
    <s v="Weekend"/>
    <x v="9"/>
    <x v="0"/>
  </r>
  <r>
    <n v="640"/>
    <n v="8"/>
    <n v="13"/>
    <n v="10"/>
    <x v="611"/>
    <n v="6"/>
    <x v="0"/>
    <x v="1"/>
    <x v="1"/>
    <n v="9"/>
    <n v="2026"/>
    <x v="7"/>
    <n v="23"/>
    <x v="0"/>
    <s v="weekday"/>
    <x v="11"/>
    <x v="3"/>
  </r>
  <r>
    <n v="641"/>
    <n v="7"/>
    <n v="12"/>
    <n v="4"/>
    <x v="612"/>
    <n v="1"/>
    <x v="1"/>
    <x v="1"/>
    <x v="2"/>
    <n v="9"/>
    <n v="2026"/>
    <x v="9"/>
    <n v="19"/>
    <x v="1"/>
    <s v="Weekend"/>
    <x v="17"/>
    <x v="1"/>
  </r>
  <r>
    <n v="642"/>
    <n v="9"/>
    <n v="20"/>
    <n v="1"/>
    <x v="613"/>
    <n v="6"/>
    <x v="0"/>
    <x v="1"/>
    <x v="2"/>
    <n v="9"/>
    <n v="2026"/>
    <x v="11"/>
    <n v="15"/>
    <x v="1"/>
    <s v="Weekend"/>
    <x v="4"/>
    <x v="5"/>
  </r>
  <r>
    <n v="643"/>
    <n v="18"/>
    <n v="5"/>
    <n v="10"/>
    <x v="614"/>
    <n v="6"/>
    <x v="5"/>
    <x v="0"/>
    <x v="2"/>
    <n v="8"/>
    <n v="2026"/>
    <x v="5"/>
    <n v="17"/>
    <x v="5"/>
    <s v="weekday"/>
    <x v="14"/>
    <x v="3"/>
  </r>
  <r>
    <n v="644"/>
    <n v="1"/>
    <n v="3"/>
    <n v="1"/>
    <x v="615"/>
    <n v="4"/>
    <x v="4"/>
    <x v="1"/>
    <x v="2"/>
    <n v="8"/>
    <n v="2026"/>
    <x v="9"/>
    <n v="20"/>
    <x v="5"/>
    <s v="weekday"/>
    <x v="0"/>
    <x v="5"/>
  </r>
  <r>
    <n v="645"/>
    <n v="14"/>
    <n v="18"/>
    <n v="3"/>
    <x v="616"/>
    <n v="5"/>
    <x v="6"/>
    <x v="1"/>
    <x v="2"/>
    <n v="9"/>
    <n v="2026"/>
    <x v="7"/>
    <n v="23"/>
    <x v="5"/>
    <s v="weekday"/>
    <x v="9"/>
    <x v="6"/>
  </r>
  <r>
    <n v="646"/>
    <n v="1"/>
    <n v="9"/>
    <n v="7"/>
    <x v="617"/>
    <n v="3"/>
    <x v="8"/>
    <x v="1"/>
    <x v="0"/>
    <n v="8"/>
    <n v="2026"/>
    <x v="9"/>
    <n v="15"/>
    <x v="6"/>
    <s v="weekday"/>
    <x v="10"/>
    <x v="4"/>
  </r>
  <r>
    <n v="647"/>
    <n v="15"/>
    <n v="17"/>
    <n v="4"/>
    <x v="454"/>
    <n v="4"/>
    <x v="2"/>
    <x v="1"/>
    <x v="2"/>
    <n v="9"/>
    <n v="2026"/>
    <x v="10"/>
    <n v="22"/>
    <x v="4"/>
    <s v="weekday"/>
    <x v="16"/>
    <x v="1"/>
  </r>
  <r>
    <n v="648"/>
    <n v="5"/>
    <n v="12"/>
    <n v="4"/>
    <x v="618"/>
    <n v="4"/>
    <x v="2"/>
    <x v="1"/>
    <x v="1"/>
    <n v="9"/>
    <n v="2026"/>
    <x v="8"/>
    <n v="16"/>
    <x v="1"/>
    <s v="Weekend"/>
    <x v="17"/>
    <x v="1"/>
  </r>
  <r>
    <n v="649"/>
    <n v="13"/>
    <n v="18"/>
    <n v="2"/>
    <x v="619"/>
    <n v="1"/>
    <x v="7"/>
    <x v="1"/>
    <x v="1"/>
    <n v="8"/>
    <n v="2026"/>
    <x v="11"/>
    <n v="18"/>
    <x v="3"/>
    <s v="weekday"/>
    <x v="9"/>
    <x v="9"/>
  </r>
  <r>
    <n v="650"/>
    <n v="4"/>
    <n v="8"/>
    <n v="2"/>
    <x v="620"/>
    <n v="6"/>
    <x v="0"/>
    <x v="1"/>
    <x v="1"/>
    <n v="9"/>
    <n v="2026"/>
    <x v="3"/>
    <n v="21"/>
    <x v="4"/>
    <s v="weekday"/>
    <x v="7"/>
    <x v="9"/>
  </r>
  <r>
    <n v="651"/>
    <n v="10"/>
    <n v="7"/>
    <n v="10"/>
    <x v="621"/>
    <n v="6"/>
    <x v="14"/>
    <x v="1"/>
    <x v="0"/>
    <n v="10"/>
    <n v="2026"/>
    <x v="8"/>
    <n v="22"/>
    <x v="2"/>
    <s v="Weekend"/>
    <x v="3"/>
    <x v="3"/>
  </r>
  <r>
    <n v="652"/>
    <n v="3"/>
    <n v="1"/>
    <n v="7"/>
    <x v="622"/>
    <n v="1"/>
    <x v="1"/>
    <x v="1"/>
    <x v="1"/>
    <n v="9"/>
    <n v="2026"/>
    <x v="0"/>
    <n v="21"/>
    <x v="0"/>
    <s v="weekday"/>
    <x v="6"/>
    <x v="4"/>
  </r>
  <r>
    <n v="653"/>
    <n v="13"/>
    <n v="13"/>
    <n v="5"/>
    <x v="623"/>
    <n v="3"/>
    <x v="8"/>
    <x v="1"/>
    <x v="2"/>
    <n v="8"/>
    <n v="2026"/>
    <x v="6"/>
    <n v="19"/>
    <x v="5"/>
    <s v="weekday"/>
    <x v="11"/>
    <x v="8"/>
  </r>
  <r>
    <n v="654"/>
    <n v="20"/>
    <n v="6"/>
    <n v="2"/>
    <x v="624"/>
    <n v="6"/>
    <x v="5"/>
    <x v="1"/>
    <x v="2"/>
    <n v="8"/>
    <n v="2026"/>
    <x v="7"/>
    <n v="15"/>
    <x v="5"/>
    <s v="weekday"/>
    <x v="13"/>
    <x v="9"/>
  </r>
  <r>
    <n v="655"/>
    <n v="11"/>
    <n v="8"/>
    <n v="1"/>
    <x v="625"/>
    <n v="6"/>
    <x v="0"/>
    <x v="1"/>
    <x v="1"/>
    <n v="9"/>
    <n v="2026"/>
    <x v="8"/>
    <n v="23"/>
    <x v="6"/>
    <s v="weekday"/>
    <x v="7"/>
    <x v="5"/>
  </r>
  <r>
    <n v="656"/>
    <n v="10"/>
    <n v="19"/>
    <n v="10"/>
    <x v="626"/>
    <n v="6"/>
    <x v="5"/>
    <x v="1"/>
    <x v="2"/>
    <n v="8"/>
    <n v="2026"/>
    <x v="2"/>
    <n v="17"/>
    <x v="6"/>
    <s v="weekday"/>
    <x v="18"/>
    <x v="3"/>
  </r>
  <r>
    <n v="657"/>
    <n v="7"/>
    <n v="10"/>
    <n v="8"/>
    <x v="627"/>
    <n v="3"/>
    <x v="8"/>
    <x v="1"/>
    <x v="0"/>
    <n v="8"/>
    <n v="2026"/>
    <x v="11"/>
    <n v="18"/>
    <x v="4"/>
    <s v="weekday"/>
    <x v="1"/>
    <x v="7"/>
  </r>
  <r>
    <n v="658"/>
    <n v="13"/>
    <n v="18"/>
    <n v="9"/>
    <x v="628"/>
    <n v="2"/>
    <x v="12"/>
    <x v="1"/>
    <x v="0"/>
    <n v="8"/>
    <n v="2026"/>
    <x v="4"/>
    <n v="16"/>
    <x v="5"/>
    <s v="weekday"/>
    <x v="9"/>
    <x v="2"/>
  </r>
  <r>
    <n v="659"/>
    <n v="5"/>
    <n v="16"/>
    <n v="6"/>
    <x v="629"/>
    <n v="1"/>
    <x v="1"/>
    <x v="1"/>
    <x v="1"/>
    <n v="9"/>
    <n v="2026"/>
    <x v="11"/>
    <n v="17"/>
    <x v="1"/>
    <s v="Weekend"/>
    <x v="12"/>
    <x v="0"/>
  </r>
  <r>
    <n v="660"/>
    <n v="10"/>
    <n v="14"/>
    <n v="9"/>
    <x v="630"/>
    <n v="2"/>
    <x v="12"/>
    <x v="1"/>
    <x v="1"/>
    <n v="8"/>
    <n v="2026"/>
    <x v="7"/>
    <n v="14"/>
    <x v="0"/>
    <s v="weekday"/>
    <x v="2"/>
    <x v="2"/>
  </r>
  <r>
    <n v="661"/>
    <n v="4"/>
    <n v="17"/>
    <n v="6"/>
    <x v="631"/>
    <n v="3"/>
    <x v="9"/>
    <x v="1"/>
    <x v="0"/>
    <n v="9"/>
    <n v="2026"/>
    <x v="5"/>
    <n v="17"/>
    <x v="1"/>
    <s v="Weekend"/>
    <x v="16"/>
    <x v="0"/>
  </r>
  <r>
    <n v="662"/>
    <n v="4"/>
    <n v="10"/>
    <n v="7"/>
    <x v="632"/>
    <n v="5"/>
    <x v="11"/>
    <x v="1"/>
    <x v="1"/>
    <n v="8"/>
    <n v="2026"/>
    <x v="7"/>
    <n v="14"/>
    <x v="0"/>
    <s v="weekday"/>
    <x v="1"/>
    <x v="4"/>
  </r>
  <r>
    <n v="663"/>
    <n v="2"/>
    <n v="2"/>
    <n v="4"/>
    <x v="633"/>
    <n v="5"/>
    <x v="16"/>
    <x v="0"/>
    <x v="0"/>
    <n v="10"/>
    <n v="2026"/>
    <x v="2"/>
    <n v="23"/>
    <x v="2"/>
    <s v="Weekend"/>
    <x v="8"/>
    <x v="1"/>
  </r>
  <r>
    <n v="664"/>
    <n v="3"/>
    <n v="9"/>
    <n v="1"/>
    <x v="634"/>
    <n v="1"/>
    <x v="7"/>
    <x v="0"/>
    <x v="2"/>
    <n v="8"/>
    <n v="2026"/>
    <x v="9"/>
    <n v="17"/>
    <x v="0"/>
    <s v="weekday"/>
    <x v="10"/>
    <x v="5"/>
  </r>
  <r>
    <n v="665"/>
    <n v="18"/>
    <n v="4"/>
    <n v="2"/>
    <x v="635"/>
    <n v="5"/>
    <x v="11"/>
    <x v="0"/>
    <x v="2"/>
    <n v="8"/>
    <n v="2026"/>
    <x v="6"/>
    <n v="14"/>
    <x v="6"/>
    <s v="weekday"/>
    <x v="15"/>
    <x v="9"/>
  </r>
  <r>
    <n v="666"/>
    <n v="20"/>
    <n v="11"/>
    <n v="7"/>
    <x v="636"/>
    <n v="2"/>
    <x v="13"/>
    <x v="1"/>
    <x v="2"/>
    <n v="10"/>
    <n v="2026"/>
    <x v="10"/>
    <n v="23"/>
    <x v="1"/>
    <s v="Weekend"/>
    <x v="19"/>
    <x v="4"/>
  </r>
  <r>
    <n v="667"/>
    <n v="19"/>
    <n v="3"/>
    <n v="4"/>
    <x v="637"/>
    <n v="4"/>
    <x v="2"/>
    <x v="1"/>
    <x v="2"/>
    <n v="9"/>
    <n v="2026"/>
    <x v="11"/>
    <n v="16"/>
    <x v="2"/>
    <s v="Weekend"/>
    <x v="0"/>
    <x v="1"/>
  </r>
  <r>
    <n v="668"/>
    <n v="3"/>
    <n v="12"/>
    <n v="6"/>
    <x v="638"/>
    <n v="1"/>
    <x v="7"/>
    <x v="1"/>
    <x v="0"/>
    <n v="8"/>
    <n v="2026"/>
    <x v="1"/>
    <n v="20"/>
    <x v="0"/>
    <s v="weekday"/>
    <x v="17"/>
    <x v="0"/>
  </r>
  <r>
    <n v="669"/>
    <n v="5"/>
    <n v="14"/>
    <n v="7"/>
    <x v="639"/>
    <n v="5"/>
    <x v="6"/>
    <x v="1"/>
    <x v="1"/>
    <n v="9"/>
    <n v="2026"/>
    <x v="0"/>
    <n v="18"/>
    <x v="2"/>
    <s v="Weekend"/>
    <x v="2"/>
    <x v="4"/>
  </r>
  <r>
    <n v="670"/>
    <n v="20"/>
    <n v="10"/>
    <n v="2"/>
    <x v="640"/>
    <n v="2"/>
    <x v="12"/>
    <x v="1"/>
    <x v="1"/>
    <n v="8"/>
    <n v="2026"/>
    <x v="3"/>
    <n v="18"/>
    <x v="4"/>
    <s v="weekday"/>
    <x v="1"/>
    <x v="9"/>
  </r>
  <r>
    <n v="671"/>
    <n v="19"/>
    <n v="10"/>
    <n v="7"/>
    <x v="641"/>
    <n v="2"/>
    <x v="3"/>
    <x v="1"/>
    <x v="0"/>
    <n v="9"/>
    <n v="2026"/>
    <x v="9"/>
    <n v="22"/>
    <x v="3"/>
    <s v="weekday"/>
    <x v="1"/>
    <x v="4"/>
  </r>
  <r>
    <n v="672"/>
    <n v="10"/>
    <n v="8"/>
    <n v="10"/>
    <x v="642"/>
    <n v="2"/>
    <x v="12"/>
    <x v="1"/>
    <x v="0"/>
    <n v="8"/>
    <n v="2026"/>
    <x v="2"/>
    <n v="16"/>
    <x v="3"/>
    <s v="weekday"/>
    <x v="7"/>
    <x v="3"/>
  </r>
  <r>
    <n v="673"/>
    <n v="8"/>
    <n v="2"/>
    <n v="6"/>
    <x v="643"/>
    <n v="2"/>
    <x v="13"/>
    <x v="1"/>
    <x v="0"/>
    <n v="10"/>
    <n v="2026"/>
    <x v="11"/>
    <n v="23"/>
    <x v="1"/>
    <s v="Weekend"/>
    <x v="8"/>
    <x v="0"/>
  </r>
  <r>
    <n v="674"/>
    <n v="9"/>
    <n v="3"/>
    <n v="4"/>
    <x v="644"/>
    <n v="4"/>
    <x v="2"/>
    <x v="0"/>
    <x v="1"/>
    <n v="9"/>
    <n v="2026"/>
    <x v="4"/>
    <n v="20"/>
    <x v="1"/>
    <s v="Weekend"/>
    <x v="0"/>
    <x v="1"/>
  </r>
  <r>
    <n v="675"/>
    <n v="4"/>
    <n v="4"/>
    <n v="8"/>
    <x v="645"/>
    <n v="1"/>
    <x v="7"/>
    <x v="1"/>
    <x v="0"/>
    <n v="8"/>
    <n v="2026"/>
    <x v="0"/>
    <n v="20"/>
    <x v="5"/>
    <s v="weekday"/>
    <x v="15"/>
    <x v="7"/>
  </r>
  <r>
    <n v="676"/>
    <n v="19"/>
    <n v="14"/>
    <n v="1"/>
    <x v="646"/>
    <n v="3"/>
    <x v="9"/>
    <x v="1"/>
    <x v="1"/>
    <n v="9"/>
    <n v="2026"/>
    <x v="1"/>
    <n v="21"/>
    <x v="0"/>
    <s v="weekday"/>
    <x v="2"/>
    <x v="5"/>
  </r>
  <r>
    <n v="677"/>
    <n v="2"/>
    <n v="9"/>
    <n v="5"/>
    <x v="647"/>
    <n v="6"/>
    <x v="0"/>
    <x v="1"/>
    <x v="2"/>
    <n v="9"/>
    <n v="2026"/>
    <x v="7"/>
    <n v="21"/>
    <x v="4"/>
    <s v="weekday"/>
    <x v="10"/>
    <x v="8"/>
  </r>
  <r>
    <n v="678"/>
    <n v="1"/>
    <n v="19"/>
    <n v="6"/>
    <x v="648"/>
    <n v="4"/>
    <x v="4"/>
    <x v="1"/>
    <x v="0"/>
    <n v="8"/>
    <n v="2026"/>
    <x v="3"/>
    <n v="16"/>
    <x v="4"/>
    <s v="weekday"/>
    <x v="18"/>
    <x v="0"/>
  </r>
  <r>
    <n v="679"/>
    <n v="7"/>
    <n v="9"/>
    <n v="4"/>
    <x v="649"/>
    <n v="1"/>
    <x v="15"/>
    <x v="1"/>
    <x v="1"/>
    <n v="10"/>
    <n v="2026"/>
    <x v="7"/>
    <n v="22"/>
    <x v="2"/>
    <s v="Weekend"/>
    <x v="10"/>
    <x v="1"/>
  </r>
  <r>
    <n v="680"/>
    <n v="5"/>
    <n v="11"/>
    <n v="1"/>
    <x v="631"/>
    <n v="4"/>
    <x v="2"/>
    <x v="1"/>
    <x v="0"/>
    <n v="9"/>
    <n v="2026"/>
    <x v="5"/>
    <n v="17"/>
    <x v="1"/>
    <s v="Weekend"/>
    <x v="19"/>
    <x v="5"/>
  </r>
  <r>
    <n v="681"/>
    <n v="20"/>
    <n v="18"/>
    <n v="4"/>
    <x v="650"/>
    <n v="1"/>
    <x v="1"/>
    <x v="1"/>
    <x v="2"/>
    <n v="9"/>
    <n v="2026"/>
    <x v="5"/>
    <n v="16"/>
    <x v="2"/>
    <s v="Weekend"/>
    <x v="9"/>
    <x v="1"/>
  </r>
  <r>
    <n v="682"/>
    <n v="20"/>
    <n v="20"/>
    <n v="4"/>
    <x v="651"/>
    <n v="1"/>
    <x v="1"/>
    <x v="1"/>
    <x v="0"/>
    <n v="9"/>
    <n v="2026"/>
    <x v="6"/>
    <n v="23"/>
    <x v="5"/>
    <s v="weekday"/>
    <x v="4"/>
    <x v="1"/>
  </r>
  <r>
    <n v="683"/>
    <n v="1"/>
    <n v="10"/>
    <n v="7"/>
    <x v="652"/>
    <n v="6"/>
    <x v="5"/>
    <x v="1"/>
    <x v="2"/>
    <n v="8"/>
    <n v="2026"/>
    <x v="4"/>
    <n v="19"/>
    <x v="0"/>
    <s v="weekday"/>
    <x v="1"/>
    <x v="4"/>
  </r>
  <r>
    <n v="684"/>
    <n v="17"/>
    <n v="20"/>
    <n v="1"/>
    <x v="653"/>
    <n v="5"/>
    <x v="6"/>
    <x v="1"/>
    <x v="1"/>
    <n v="9"/>
    <n v="2026"/>
    <x v="4"/>
    <n v="23"/>
    <x v="5"/>
    <s v="weekday"/>
    <x v="4"/>
    <x v="5"/>
  </r>
  <r>
    <n v="685"/>
    <n v="11"/>
    <n v="7"/>
    <n v="9"/>
    <x v="654"/>
    <n v="2"/>
    <x v="13"/>
    <x v="1"/>
    <x v="0"/>
    <n v="10"/>
    <n v="2026"/>
    <x v="9"/>
    <n v="21"/>
    <x v="2"/>
    <s v="Weekend"/>
    <x v="3"/>
    <x v="2"/>
  </r>
  <r>
    <n v="686"/>
    <n v="8"/>
    <n v="19"/>
    <n v="5"/>
    <x v="655"/>
    <n v="2"/>
    <x v="12"/>
    <x v="1"/>
    <x v="2"/>
    <n v="8"/>
    <n v="2026"/>
    <x v="4"/>
    <n v="15"/>
    <x v="5"/>
    <s v="weekday"/>
    <x v="18"/>
    <x v="8"/>
  </r>
  <r>
    <n v="687"/>
    <n v="19"/>
    <n v="16"/>
    <n v="7"/>
    <x v="259"/>
    <n v="5"/>
    <x v="16"/>
    <x v="1"/>
    <x v="1"/>
    <n v="10"/>
    <n v="2026"/>
    <x v="1"/>
    <n v="22"/>
    <x v="1"/>
    <s v="Weekend"/>
    <x v="12"/>
    <x v="4"/>
  </r>
  <r>
    <n v="688"/>
    <n v="5"/>
    <n v="12"/>
    <n v="6"/>
    <x v="656"/>
    <n v="3"/>
    <x v="10"/>
    <x v="1"/>
    <x v="2"/>
    <n v="10"/>
    <n v="2026"/>
    <x v="9"/>
    <n v="22"/>
    <x v="1"/>
    <s v="Weekend"/>
    <x v="17"/>
    <x v="0"/>
  </r>
  <r>
    <n v="689"/>
    <n v="8"/>
    <n v="8"/>
    <n v="2"/>
    <x v="656"/>
    <n v="5"/>
    <x v="16"/>
    <x v="1"/>
    <x v="0"/>
    <n v="10"/>
    <n v="2026"/>
    <x v="9"/>
    <n v="22"/>
    <x v="1"/>
    <s v="Weekend"/>
    <x v="7"/>
    <x v="9"/>
  </r>
  <r>
    <n v="690"/>
    <n v="15"/>
    <n v="19"/>
    <n v="6"/>
    <x v="657"/>
    <n v="2"/>
    <x v="3"/>
    <x v="1"/>
    <x v="1"/>
    <n v="9"/>
    <n v="2026"/>
    <x v="1"/>
    <n v="15"/>
    <x v="1"/>
    <s v="Weekend"/>
    <x v="18"/>
    <x v="0"/>
  </r>
  <r>
    <n v="691"/>
    <n v="6"/>
    <n v="11"/>
    <n v="10"/>
    <x v="658"/>
    <n v="1"/>
    <x v="7"/>
    <x v="0"/>
    <x v="0"/>
    <n v="8"/>
    <n v="2026"/>
    <x v="0"/>
    <n v="20"/>
    <x v="5"/>
    <s v="weekday"/>
    <x v="19"/>
    <x v="3"/>
  </r>
  <r>
    <n v="692"/>
    <n v="9"/>
    <n v="7"/>
    <n v="8"/>
    <x v="373"/>
    <n v="4"/>
    <x v="2"/>
    <x v="1"/>
    <x v="0"/>
    <n v="9"/>
    <n v="2026"/>
    <x v="9"/>
    <n v="16"/>
    <x v="2"/>
    <s v="Weekend"/>
    <x v="3"/>
    <x v="7"/>
  </r>
  <r>
    <n v="693"/>
    <n v="6"/>
    <n v="18"/>
    <n v="2"/>
    <x v="659"/>
    <n v="6"/>
    <x v="5"/>
    <x v="1"/>
    <x v="0"/>
    <n v="8"/>
    <n v="2026"/>
    <x v="10"/>
    <n v="20"/>
    <x v="0"/>
    <s v="weekday"/>
    <x v="9"/>
    <x v="9"/>
  </r>
  <r>
    <n v="694"/>
    <n v="3"/>
    <n v="6"/>
    <n v="2"/>
    <x v="660"/>
    <n v="6"/>
    <x v="0"/>
    <x v="1"/>
    <x v="1"/>
    <n v="9"/>
    <n v="2026"/>
    <x v="5"/>
    <n v="19"/>
    <x v="2"/>
    <s v="Weekend"/>
    <x v="13"/>
    <x v="9"/>
  </r>
  <r>
    <n v="695"/>
    <n v="13"/>
    <n v="12"/>
    <n v="3"/>
    <x v="661"/>
    <n v="6"/>
    <x v="5"/>
    <x v="1"/>
    <x v="2"/>
    <n v="8"/>
    <n v="2026"/>
    <x v="0"/>
    <n v="19"/>
    <x v="5"/>
    <s v="weekday"/>
    <x v="17"/>
    <x v="6"/>
  </r>
  <r>
    <n v="696"/>
    <n v="11"/>
    <n v="7"/>
    <n v="7"/>
    <x v="484"/>
    <n v="1"/>
    <x v="7"/>
    <x v="1"/>
    <x v="1"/>
    <n v="8"/>
    <n v="2026"/>
    <x v="7"/>
    <n v="17"/>
    <x v="0"/>
    <s v="weekday"/>
    <x v="3"/>
    <x v="4"/>
  </r>
  <r>
    <n v="697"/>
    <n v="6"/>
    <n v="1"/>
    <n v="3"/>
    <x v="662"/>
    <n v="4"/>
    <x v="4"/>
    <x v="0"/>
    <x v="0"/>
    <n v="8"/>
    <n v="2026"/>
    <x v="0"/>
    <n v="14"/>
    <x v="6"/>
    <s v="weekday"/>
    <x v="6"/>
    <x v="6"/>
  </r>
  <r>
    <n v="698"/>
    <n v="14"/>
    <n v="18"/>
    <n v="2"/>
    <x v="663"/>
    <n v="4"/>
    <x v="4"/>
    <x v="1"/>
    <x v="0"/>
    <n v="8"/>
    <n v="2026"/>
    <x v="4"/>
    <n v="19"/>
    <x v="0"/>
    <s v="weekday"/>
    <x v="9"/>
    <x v="9"/>
  </r>
  <r>
    <n v="699"/>
    <n v="12"/>
    <n v="12"/>
    <n v="2"/>
    <x v="664"/>
    <n v="3"/>
    <x v="9"/>
    <x v="1"/>
    <x v="1"/>
    <n v="9"/>
    <n v="2026"/>
    <x v="10"/>
    <n v="20"/>
    <x v="2"/>
    <s v="Weekend"/>
    <x v="17"/>
    <x v="9"/>
  </r>
  <r>
    <n v="700"/>
    <n v="19"/>
    <n v="10"/>
    <n v="4"/>
    <x v="665"/>
    <n v="3"/>
    <x v="8"/>
    <x v="1"/>
    <x v="1"/>
    <n v="8"/>
    <n v="2026"/>
    <x v="8"/>
    <n v="15"/>
    <x v="3"/>
    <s v="weekday"/>
    <x v="1"/>
    <x v="1"/>
  </r>
  <r>
    <n v="701"/>
    <n v="12"/>
    <n v="18"/>
    <n v="3"/>
    <x v="143"/>
    <n v="3"/>
    <x v="9"/>
    <x v="1"/>
    <x v="2"/>
    <n v="9"/>
    <n v="2026"/>
    <x v="8"/>
    <n v="16"/>
    <x v="1"/>
    <s v="Weekend"/>
    <x v="9"/>
    <x v="6"/>
  </r>
  <r>
    <n v="702"/>
    <n v="9"/>
    <n v="4"/>
    <n v="7"/>
    <x v="666"/>
    <n v="4"/>
    <x v="4"/>
    <x v="1"/>
    <x v="0"/>
    <n v="8"/>
    <n v="2026"/>
    <x v="7"/>
    <n v="20"/>
    <x v="0"/>
    <s v="weekday"/>
    <x v="15"/>
    <x v="4"/>
  </r>
  <r>
    <n v="703"/>
    <n v="2"/>
    <n v="7"/>
    <n v="3"/>
    <x v="667"/>
    <n v="3"/>
    <x v="8"/>
    <x v="1"/>
    <x v="2"/>
    <n v="8"/>
    <n v="2026"/>
    <x v="6"/>
    <n v="17"/>
    <x v="5"/>
    <s v="weekday"/>
    <x v="3"/>
    <x v="6"/>
  </r>
  <r>
    <n v="704"/>
    <n v="4"/>
    <n v="5"/>
    <n v="7"/>
    <x v="668"/>
    <n v="1"/>
    <x v="7"/>
    <x v="1"/>
    <x v="2"/>
    <n v="8"/>
    <n v="2026"/>
    <x v="5"/>
    <n v="20"/>
    <x v="4"/>
    <s v="weekday"/>
    <x v="14"/>
    <x v="4"/>
  </r>
  <r>
    <n v="705"/>
    <n v="11"/>
    <n v="16"/>
    <n v="3"/>
    <x v="669"/>
    <n v="6"/>
    <x v="5"/>
    <x v="1"/>
    <x v="0"/>
    <n v="8"/>
    <n v="2026"/>
    <x v="6"/>
    <n v="16"/>
    <x v="3"/>
    <s v="weekday"/>
    <x v="12"/>
    <x v="6"/>
  </r>
  <r>
    <n v="706"/>
    <n v="9"/>
    <n v="7"/>
    <n v="3"/>
    <x v="670"/>
    <n v="2"/>
    <x v="12"/>
    <x v="1"/>
    <x v="2"/>
    <n v="8"/>
    <n v="2026"/>
    <x v="4"/>
    <n v="17"/>
    <x v="0"/>
    <s v="weekday"/>
    <x v="3"/>
    <x v="6"/>
  </r>
  <r>
    <n v="707"/>
    <n v="3"/>
    <n v="19"/>
    <n v="8"/>
    <x v="671"/>
    <n v="2"/>
    <x v="12"/>
    <x v="1"/>
    <x v="1"/>
    <n v="8"/>
    <n v="2026"/>
    <x v="7"/>
    <n v="15"/>
    <x v="5"/>
    <s v="weekday"/>
    <x v="18"/>
    <x v="7"/>
  </r>
  <r>
    <n v="708"/>
    <n v="20"/>
    <n v="17"/>
    <n v="8"/>
    <x v="672"/>
    <n v="4"/>
    <x v="2"/>
    <x v="1"/>
    <x v="0"/>
    <n v="9"/>
    <n v="2026"/>
    <x v="5"/>
    <n v="21"/>
    <x v="4"/>
    <s v="weekday"/>
    <x v="16"/>
    <x v="7"/>
  </r>
  <r>
    <n v="709"/>
    <n v="6"/>
    <n v="14"/>
    <n v="7"/>
    <x v="234"/>
    <n v="3"/>
    <x v="8"/>
    <x v="1"/>
    <x v="0"/>
    <n v="8"/>
    <n v="2026"/>
    <x v="7"/>
    <n v="18"/>
    <x v="6"/>
    <s v="weekday"/>
    <x v="2"/>
    <x v="4"/>
  </r>
  <r>
    <n v="710"/>
    <n v="20"/>
    <n v="16"/>
    <n v="2"/>
    <x v="673"/>
    <n v="3"/>
    <x v="8"/>
    <x v="1"/>
    <x v="1"/>
    <n v="8"/>
    <n v="2026"/>
    <x v="0"/>
    <n v="16"/>
    <x v="3"/>
    <s v="weekday"/>
    <x v="12"/>
    <x v="9"/>
  </r>
  <r>
    <n v="711"/>
    <n v="11"/>
    <n v="3"/>
    <n v="7"/>
    <x v="674"/>
    <n v="2"/>
    <x v="3"/>
    <x v="1"/>
    <x v="2"/>
    <n v="9"/>
    <n v="2026"/>
    <x v="11"/>
    <n v="19"/>
    <x v="2"/>
    <s v="Weekend"/>
    <x v="0"/>
    <x v="4"/>
  </r>
  <r>
    <n v="712"/>
    <n v="4"/>
    <n v="12"/>
    <n v="1"/>
    <x v="675"/>
    <n v="2"/>
    <x v="3"/>
    <x v="1"/>
    <x v="0"/>
    <n v="9"/>
    <n v="2026"/>
    <x v="4"/>
    <n v="23"/>
    <x v="0"/>
    <s v="weekday"/>
    <x v="17"/>
    <x v="5"/>
  </r>
  <r>
    <n v="713"/>
    <n v="8"/>
    <n v="10"/>
    <n v="5"/>
    <x v="676"/>
    <n v="1"/>
    <x v="1"/>
    <x v="1"/>
    <x v="2"/>
    <n v="9"/>
    <n v="2026"/>
    <x v="9"/>
    <n v="23"/>
    <x v="4"/>
    <s v="weekday"/>
    <x v="1"/>
    <x v="8"/>
  </r>
  <r>
    <n v="714"/>
    <n v="17"/>
    <n v="5"/>
    <n v="5"/>
    <x v="677"/>
    <n v="3"/>
    <x v="8"/>
    <x v="1"/>
    <x v="2"/>
    <n v="8"/>
    <n v="2026"/>
    <x v="9"/>
    <n v="18"/>
    <x v="3"/>
    <s v="weekday"/>
    <x v="14"/>
    <x v="8"/>
  </r>
  <r>
    <n v="715"/>
    <n v="20"/>
    <n v="19"/>
    <n v="8"/>
    <x v="678"/>
    <n v="3"/>
    <x v="9"/>
    <x v="1"/>
    <x v="1"/>
    <n v="9"/>
    <n v="2026"/>
    <x v="9"/>
    <n v="21"/>
    <x v="0"/>
    <s v="weekday"/>
    <x v="18"/>
    <x v="7"/>
  </r>
  <r>
    <n v="716"/>
    <n v="2"/>
    <n v="8"/>
    <n v="7"/>
    <x v="679"/>
    <n v="5"/>
    <x v="6"/>
    <x v="1"/>
    <x v="0"/>
    <n v="9"/>
    <n v="2026"/>
    <x v="9"/>
    <n v="19"/>
    <x v="2"/>
    <s v="Weekend"/>
    <x v="7"/>
    <x v="4"/>
  </r>
  <r>
    <n v="717"/>
    <n v="10"/>
    <n v="7"/>
    <n v="6"/>
    <x v="680"/>
    <n v="1"/>
    <x v="15"/>
    <x v="1"/>
    <x v="0"/>
    <n v="10"/>
    <n v="2026"/>
    <x v="10"/>
    <n v="23"/>
    <x v="2"/>
    <s v="Weekend"/>
    <x v="3"/>
    <x v="0"/>
  </r>
  <r>
    <n v="718"/>
    <n v="1"/>
    <n v="19"/>
    <n v="3"/>
    <x v="681"/>
    <n v="5"/>
    <x v="6"/>
    <x v="1"/>
    <x v="0"/>
    <n v="9"/>
    <n v="2026"/>
    <x v="7"/>
    <n v="18"/>
    <x v="1"/>
    <s v="Weekend"/>
    <x v="18"/>
    <x v="6"/>
  </r>
  <r>
    <n v="719"/>
    <n v="1"/>
    <n v="2"/>
    <n v="7"/>
    <x v="173"/>
    <n v="6"/>
    <x v="0"/>
    <x v="1"/>
    <x v="0"/>
    <n v="9"/>
    <n v="2026"/>
    <x v="1"/>
    <n v="17"/>
    <x v="2"/>
    <s v="Weekend"/>
    <x v="8"/>
    <x v="4"/>
  </r>
  <r>
    <n v="720"/>
    <n v="2"/>
    <n v="12"/>
    <n v="1"/>
    <x v="606"/>
    <n v="3"/>
    <x v="8"/>
    <x v="1"/>
    <x v="2"/>
    <n v="8"/>
    <n v="2026"/>
    <x v="5"/>
    <n v="19"/>
    <x v="6"/>
    <s v="weekday"/>
    <x v="17"/>
    <x v="5"/>
  </r>
  <r>
    <n v="721"/>
    <n v="11"/>
    <n v="4"/>
    <n v="6"/>
    <x v="682"/>
    <n v="1"/>
    <x v="7"/>
    <x v="0"/>
    <x v="0"/>
    <n v="8"/>
    <n v="2026"/>
    <x v="9"/>
    <n v="17"/>
    <x v="0"/>
    <s v="weekday"/>
    <x v="15"/>
    <x v="0"/>
  </r>
  <r>
    <n v="722"/>
    <n v="14"/>
    <n v="16"/>
    <n v="7"/>
    <x v="683"/>
    <n v="1"/>
    <x v="15"/>
    <x v="1"/>
    <x v="2"/>
    <n v="10"/>
    <n v="2026"/>
    <x v="10"/>
    <n v="21"/>
    <x v="1"/>
    <s v="Weekend"/>
    <x v="12"/>
    <x v="4"/>
  </r>
  <r>
    <n v="723"/>
    <n v="7"/>
    <n v="3"/>
    <n v="4"/>
    <x v="684"/>
    <n v="3"/>
    <x v="8"/>
    <x v="1"/>
    <x v="0"/>
    <n v="8"/>
    <n v="2026"/>
    <x v="0"/>
    <n v="20"/>
    <x v="4"/>
    <s v="weekday"/>
    <x v="0"/>
    <x v="1"/>
  </r>
  <r>
    <n v="724"/>
    <n v="19"/>
    <n v="20"/>
    <n v="3"/>
    <x v="685"/>
    <n v="4"/>
    <x v="2"/>
    <x v="0"/>
    <x v="0"/>
    <n v="9"/>
    <n v="2026"/>
    <x v="6"/>
    <n v="22"/>
    <x v="3"/>
    <s v="weekday"/>
    <x v="4"/>
    <x v="6"/>
  </r>
  <r>
    <n v="725"/>
    <n v="12"/>
    <n v="15"/>
    <n v="1"/>
    <x v="686"/>
    <n v="4"/>
    <x v="2"/>
    <x v="1"/>
    <x v="0"/>
    <n v="9"/>
    <n v="2026"/>
    <x v="7"/>
    <n v="22"/>
    <x v="5"/>
    <s v="weekday"/>
    <x v="5"/>
    <x v="5"/>
  </r>
  <r>
    <n v="726"/>
    <n v="5"/>
    <n v="4"/>
    <n v="9"/>
    <x v="510"/>
    <n v="5"/>
    <x v="11"/>
    <x v="1"/>
    <x v="1"/>
    <n v="8"/>
    <n v="2026"/>
    <x v="10"/>
    <n v="20"/>
    <x v="6"/>
    <s v="weekday"/>
    <x v="15"/>
    <x v="2"/>
  </r>
  <r>
    <n v="727"/>
    <n v="14"/>
    <n v="6"/>
    <n v="6"/>
    <x v="687"/>
    <n v="4"/>
    <x v="4"/>
    <x v="1"/>
    <x v="0"/>
    <n v="8"/>
    <n v="2026"/>
    <x v="8"/>
    <n v="19"/>
    <x v="0"/>
    <s v="weekday"/>
    <x v="13"/>
    <x v="0"/>
  </r>
  <r>
    <n v="728"/>
    <n v="5"/>
    <n v="6"/>
    <n v="2"/>
    <x v="688"/>
    <n v="1"/>
    <x v="7"/>
    <x v="1"/>
    <x v="2"/>
    <n v="8"/>
    <n v="2026"/>
    <x v="2"/>
    <n v="18"/>
    <x v="5"/>
    <s v="weekday"/>
    <x v="13"/>
    <x v="9"/>
  </r>
  <r>
    <n v="729"/>
    <n v="7"/>
    <n v="11"/>
    <n v="6"/>
    <x v="689"/>
    <n v="3"/>
    <x v="9"/>
    <x v="1"/>
    <x v="2"/>
    <n v="9"/>
    <n v="2026"/>
    <x v="7"/>
    <n v="22"/>
    <x v="5"/>
    <s v="weekday"/>
    <x v="19"/>
    <x v="0"/>
  </r>
  <r>
    <n v="730"/>
    <n v="16"/>
    <n v="15"/>
    <n v="10"/>
    <x v="690"/>
    <n v="1"/>
    <x v="7"/>
    <x v="1"/>
    <x v="1"/>
    <n v="8"/>
    <n v="2026"/>
    <x v="5"/>
    <n v="14"/>
    <x v="4"/>
    <s v="weekday"/>
    <x v="5"/>
    <x v="3"/>
  </r>
  <r>
    <n v="731"/>
    <n v="6"/>
    <n v="12"/>
    <n v="3"/>
    <x v="691"/>
    <n v="2"/>
    <x v="12"/>
    <x v="1"/>
    <x v="0"/>
    <n v="8"/>
    <n v="2026"/>
    <x v="5"/>
    <n v="20"/>
    <x v="6"/>
    <s v="weekday"/>
    <x v="17"/>
    <x v="6"/>
  </r>
  <r>
    <n v="732"/>
    <n v="13"/>
    <n v="20"/>
    <n v="5"/>
    <x v="692"/>
    <n v="6"/>
    <x v="5"/>
    <x v="1"/>
    <x v="1"/>
    <n v="8"/>
    <n v="2026"/>
    <x v="7"/>
    <n v="20"/>
    <x v="3"/>
    <s v="weekday"/>
    <x v="4"/>
    <x v="8"/>
  </r>
  <r>
    <n v="733"/>
    <n v="20"/>
    <n v="9"/>
    <n v="9"/>
    <x v="693"/>
    <n v="1"/>
    <x v="7"/>
    <x v="1"/>
    <x v="2"/>
    <n v="8"/>
    <n v="2026"/>
    <x v="11"/>
    <n v="17"/>
    <x v="0"/>
    <s v="weekday"/>
    <x v="10"/>
    <x v="2"/>
  </r>
  <r>
    <n v="734"/>
    <n v="8"/>
    <n v="2"/>
    <n v="9"/>
    <x v="694"/>
    <n v="4"/>
    <x v="4"/>
    <x v="1"/>
    <x v="2"/>
    <n v="8"/>
    <n v="2026"/>
    <x v="3"/>
    <n v="15"/>
    <x v="4"/>
    <s v="weekday"/>
    <x v="8"/>
    <x v="2"/>
  </r>
  <r>
    <n v="735"/>
    <n v="10"/>
    <n v="16"/>
    <n v="4"/>
    <x v="695"/>
    <n v="6"/>
    <x v="5"/>
    <x v="1"/>
    <x v="0"/>
    <n v="8"/>
    <n v="2026"/>
    <x v="4"/>
    <n v="19"/>
    <x v="4"/>
    <s v="weekday"/>
    <x v="12"/>
    <x v="1"/>
  </r>
  <r>
    <n v="736"/>
    <n v="13"/>
    <n v="20"/>
    <n v="7"/>
    <x v="696"/>
    <n v="5"/>
    <x v="11"/>
    <x v="1"/>
    <x v="2"/>
    <n v="8"/>
    <n v="2026"/>
    <x v="9"/>
    <n v="15"/>
    <x v="5"/>
    <s v="weekday"/>
    <x v="4"/>
    <x v="4"/>
  </r>
  <r>
    <n v="737"/>
    <n v="13"/>
    <n v="16"/>
    <n v="2"/>
    <x v="697"/>
    <n v="6"/>
    <x v="0"/>
    <x v="1"/>
    <x v="1"/>
    <n v="9"/>
    <n v="2026"/>
    <x v="5"/>
    <n v="16"/>
    <x v="1"/>
    <s v="Weekend"/>
    <x v="12"/>
    <x v="9"/>
  </r>
  <r>
    <n v="738"/>
    <n v="12"/>
    <n v="11"/>
    <n v="6"/>
    <x v="698"/>
    <n v="1"/>
    <x v="7"/>
    <x v="1"/>
    <x v="0"/>
    <n v="8"/>
    <n v="2026"/>
    <x v="2"/>
    <n v="14"/>
    <x v="4"/>
    <s v="weekday"/>
    <x v="19"/>
    <x v="0"/>
  </r>
  <r>
    <n v="739"/>
    <n v="1"/>
    <n v="11"/>
    <n v="8"/>
    <x v="699"/>
    <n v="4"/>
    <x v="4"/>
    <x v="1"/>
    <x v="0"/>
    <n v="8"/>
    <n v="2026"/>
    <x v="7"/>
    <n v="20"/>
    <x v="3"/>
    <s v="weekday"/>
    <x v="19"/>
    <x v="7"/>
  </r>
  <r>
    <n v="740"/>
    <n v="19"/>
    <n v="8"/>
    <n v="1"/>
    <x v="700"/>
    <n v="1"/>
    <x v="1"/>
    <x v="1"/>
    <x v="0"/>
    <n v="9"/>
    <n v="2026"/>
    <x v="1"/>
    <n v="17"/>
    <x v="1"/>
    <s v="Weekend"/>
    <x v="7"/>
    <x v="5"/>
  </r>
  <r>
    <n v="741"/>
    <n v="15"/>
    <n v="17"/>
    <n v="9"/>
    <x v="701"/>
    <n v="1"/>
    <x v="1"/>
    <x v="0"/>
    <x v="1"/>
    <n v="9"/>
    <n v="2026"/>
    <x v="7"/>
    <n v="23"/>
    <x v="5"/>
    <s v="weekday"/>
    <x v="16"/>
    <x v="2"/>
  </r>
  <r>
    <n v="742"/>
    <n v="2"/>
    <n v="16"/>
    <n v="8"/>
    <x v="702"/>
    <n v="3"/>
    <x v="9"/>
    <x v="1"/>
    <x v="1"/>
    <n v="9"/>
    <n v="2026"/>
    <x v="10"/>
    <n v="18"/>
    <x v="1"/>
    <s v="Weekend"/>
    <x v="12"/>
    <x v="7"/>
  </r>
  <r>
    <n v="743"/>
    <n v="4"/>
    <n v="11"/>
    <n v="1"/>
    <x v="703"/>
    <n v="2"/>
    <x v="12"/>
    <x v="1"/>
    <x v="0"/>
    <n v="8"/>
    <n v="2026"/>
    <x v="3"/>
    <n v="20"/>
    <x v="0"/>
    <s v="weekday"/>
    <x v="19"/>
    <x v="5"/>
  </r>
  <r>
    <n v="744"/>
    <n v="8"/>
    <n v="5"/>
    <n v="3"/>
    <x v="704"/>
    <n v="2"/>
    <x v="12"/>
    <x v="1"/>
    <x v="2"/>
    <n v="8"/>
    <n v="2026"/>
    <x v="5"/>
    <n v="20"/>
    <x v="5"/>
    <s v="weekday"/>
    <x v="14"/>
    <x v="6"/>
  </r>
  <r>
    <n v="745"/>
    <n v="13"/>
    <n v="19"/>
    <n v="3"/>
    <x v="705"/>
    <n v="4"/>
    <x v="2"/>
    <x v="1"/>
    <x v="0"/>
    <n v="9"/>
    <n v="2026"/>
    <x v="6"/>
    <n v="14"/>
    <x v="1"/>
    <s v="Weekend"/>
    <x v="18"/>
    <x v="6"/>
  </r>
  <r>
    <n v="746"/>
    <n v="6"/>
    <n v="17"/>
    <n v="2"/>
    <x v="706"/>
    <n v="2"/>
    <x v="12"/>
    <x v="0"/>
    <x v="1"/>
    <n v="8"/>
    <n v="2026"/>
    <x v="5"/>
    <n v="18"/>
    <x v="0"/>
    <s v="weekday"/>
    <x v="16"/>
    <x v="9"/>
  </r>
  <r>
    <n v="747"/>
    <n v="14"/>
    <n v="13"/>
    <n v="3"/>
    <x v="707"/>
    <n v="2"/>
    <x v="12"/>
    <x v="1"/>
    <x v="2"/>
    <n v="8"/>
    <n v="2026"/>
    <x v="11"/>
    <n v="20"/>
    <x v="6"/>
    <s v="weekday"/>
    <x v="11"/>
    <x v="6"/>
  </r>
  <r>
    <n v="748"/>
    <n v="20"/>
    <n v="10"/>
    <n v="1"/>
    <x v="708"/>
    <n v="2"/>
    <x v="3"/>
    <x v="1"/>
    <x v="0"/>
    <n v="9"/>
    <n v="2026"/>
    <x v="0"/>
    <n v="15"/>
    <x v="2"/>
    <s v="Weekend"/>
    <x v="1"/>
    <x v="5"/>
  </r>
  <r>
    <n v="749"/>
    <n v="9"/>
    <n v="15"/>
    <n v="2"/>
    <x v="709"/>
    <n v="3"/>
    <x v="10"/>
    <x v="1"/>
    <x v="0"/>
    <n v="10"/>
    <n v="2026"/>
    <x v="2"/>
    <n v="22"/>
    <x v="2"/>
    <s v="Weekend"/>
    <x v="5"/>
    <x v="9"/>
  </r>
  <r>
    <n v="750"/>
    <n v="5"/>
    <n v="16"/>
    <n v="6"/>
    <x v="710"/>
    <n v="1"/>
    <x v="7"/>
    <x v="1"/>
    <x v="2"/>
    <n v="8"/>
    <n v="2026"/>
    <x v="10"/>
    <n v="14"/>
    <x v="6"/>
    <s v="weekday"/>
    <x v="12"/>
    <x v="0"/>
  </r>
  <r>
    <n v="751"/>
    <n v="16"/>
    <n v="15"/>
    <n v="3"/>
    <x v="711"/>
    <n v="4"/>
    <x v="2"/>
    <x v="1"/>
    <x v="0"/>
    <n v="9"/>
    <n v="2026"/>
    <x v="11"/>
    <n v="22"/>
    <x v="4"/>
    <s v="weekday"/>
    <x v="5"/>
    <x v="6"/>
  </r>
  <r>
    <n v="752"/>
    <n v="15"/>
    <n v="3"/>
    <n v="8"/>
    <x v="712"/>
    <n v="1"/>
    <x v="7"/>
    <x v="1"/>
    <x v="0"/>
    <n v="8"/>
    <n v="2026"/>
    <x v="0"/>
    <n v="14"/>
    <x v="4"/>
    <s v="weekday"/>
    <x v="0"/>
    <x v="7"/>
  </r>
  <r>
    <n v="753"/>
    <n v="17"/>
    <n v="2"/>
    <n v="3"/>
    <x v="713"/>
    <n v="2"/>
    <x v="3"/>
    <x v="1"/>
    <x v="1"/>
    <n v="9"/>
    <n v="2026"/>
    <x v="8"/>
    <n v="15"/>
    <x v="2"/>
    <s v="Weekend"/>
    <x v="8"/>
    <x v="6"/>
  </r>
  <r>
    <n v="754"/>
    <n v="6"/>
    <n v="4"/>
    <n v="5"/>
    <x v="247"/>
    <n v="5"/>
    <x v="6"/>
    <x v="1"/>
    <x v="0"/>
    <n v="9"/>
    <n v="2026"/>
    <x v="9"/>
    <n v="16"/>
    <x v="1"/>
    <s v="Weekend"/>
    <x v="15"/>
    <x v="8"/>
  </r>
  <r>
    <n v="755"/>
    <n v="7"/>
    <n v="15"/>
    <n v="3"/>
    <x v="714"/>
    <n v="4"/>
    <x v="4"/>
    <x v="1"/>
    <x v="0"/>
    <n v="8"/>
    <n v="2026"/>
    <x v="0"/>
    <n v="18"/>
    <x v="3"/>
    <s v="weekday"/>
    <x v="5"/>
    <x v="6"/>
  </r>
  <r>
    <n v="756"/>
    <n v="19"/>
    <n v="6"/>
    <n v="10"/>
    <x v="715"/>
    <n v="5"/>
    <x v="6"/>
    <x v="1"/>
    <x v="1"/>
    <n v="9"/>
    <n v="2026"/>
    <x v="10"/>
    <n v="21"/>
    <x v="0"/>
    <s v="weekday"/>
    <x v="13"/>
    <x v="3"/>
  </r>
  <r>
    <n v="757"/>
    <n v="16"/>
    <n v="3"/>
    <n v="10"/>
    <x v="716"/>
    <n v="2"/>
    <x v="12"/>
    <x v="1"/>
    <x v="0"/>
    <n v="8"/>
    <n v="2026"/>
    <x v="10"/>
    <n v="15"/>
    <x v="5"/>
    <s v="weekday"/>
    <x v="0"/>
    <x v="3"/>
  </r>
  <r>
    <n v="758"/>
    <n v="14"/>
    <n v="19"/>
    <n v="5"/>
    <x v="717"/>
    <n v="4"/>
    <x v="4"/>
    <x v="1"/>
    <x v="0"/>
    <n v="8"/>
    <n v="2026"/>
    <x v="10"/>
    <n v="18"/>
    <x v="4"/>
    <s v="weekday"/>
    <x v="18"/>
    <x v="8"/>
  </r>
  <r>
    <n v="759"/>
    <n v="4"/>
    <n v="9"/>
    <n v="4"/>
    <x v="600"/>
    <n v="3"/>
    <x v="9"/>
    <x v="1"/>
    <x v="1"/>
    <n v="9"/>
    <n v="2026"/>
    <x v="11"/>
    <n v="16"/>
    <x v="1"/>
    <s v="Weekend"/>
    <x v="10"/>
    <x v="1"/>
  </r>
  <r>
    <n v="760"/>
    <n v="8"/>
    <n v="17"/>
    <n v="1"/>
    <x v="352"/>
    <n v="3"/>
    <x v="8"/>
    <x v="1"/>
    <x v="2"/>
    <n v="8"/>
    <n v="2026"/>
    <x v="11"/>
    <n v="15"/>
    <x v="6"/>
    <s v="weekday"/>
    <x v="16"/>
    <x v="5"/>
  </r>
  <r>
    <n v="761"/>
    <n v="1"/>
    <n v="15"/>
    <n v="6"/>
    <x v="718"/>
    <n v="5"/>
    <x v="11"/>
    <x v="1"/>
    <x v="0"/>
    <n v="8"/>
    <n v="2026"/>
    <x v="1"/>
    <n v="16"/>
    <x v="6"/>
    <s v="weekday"/>
    <x v="5"/>
    <x v="0"/>
  </r>
  <r>
    <n v="762"/>
    <n v="5"/>
    <n v="2"/>
    <n v="8"/>
    <x v="719"/>
    <n v="4"/>
    <x v="4"/>
    <x v="1"/>
    <x v="0"/>
    <n v="8"/>
    <n v="2026"/>
    <x v="6"/>
    <n v="18"/>
    <x v="0"/>
    <s v="weekday"/>
    <x v="8"/>
    <x v="7"/>
  </r>
  <r>
    <n v="763"/>
    <n v="7"/>
    <n v="3"/>
    <n v="3"/>
    <x v="720"/>
    <n v="4"/>
    <x v="4"/>
    <x v="1"/>
    <x v="0"/>
    <n v="8"/>
    <n v="2026"/>
    <x v="6"/>
    <n v="20"/>
    <x v="4"/>
    <s v="weekday"/>
    <x v="0"/>
    <x v="6"/>
  </r>
  <r>
    <n v="764"/>
    <n v="18"/>
    <n v="18"/>
    <n v="9"/>
    <x v="721"/>
    <n v="3"/>
    <x v="9"/>
    <x v="1"/>
    <x v="2"/>
    <n v="9"/>
    <n v="2026"/>
    <x v="0"/>
    <n v="16"/>
    <x v="1"/>
    <s v="Weekend"/>
    <x v="9"/>
    <x v="2"/>
  </r>
  <r>
    <n v="765"/>
    <n v="6"/>
    <n v="6"/>
    <n v="5"/>
    <x v="722"/>
    <n v="6"/>
    <x v="5"/>
    <x v="1"/>
    <x v="0"/>
    <n v="8"/>
    <n v="2026"/>
    <x v="11"/>
    <n v="14"/>
    <x v="3"/>
    <s v="weekday"/>
    <x v="13"/>
    <x v="8"/>
  </r>
  <r>
    <n v="766"/>
    <n v="16"/>
    <n v="9"/>
    <n v="9"/>
    <x v="436"/>
    <n v="6"/>
    <x v="5"/>
    <x v="1"/>
    <x v="0"/>
    <n v="8"/>
    <n v="2026"/>
    <x v="6"/>
    <n v="15"/>
    <x v="4"/>
    <s v="weekday"/>
    <x v="10"/>
    <x v="2"/>
  </r>
  <r>
    <n v="767"/>
    <n v="6"/>
    <n v="8"/>
    <n v="7"/>
    <x v="723"/>
    <n v="5"/>
    <x v="16"/>
    <x v="1"/>
    <x v="0"/>
    <n v="10"/>
    <n v="2026"/>
    <x v="2"/>
    <n v="23"/>
    <x v="2"/>
    <s v="Weekend"/>
    <x v="7"/>
    <x v="4"/>
  </r>
  <r>
    <n v="768"/>
    <n v="17"/>
    <n v="17"/>
    <n v="5"/>
    <x v="724"/>
    <n v="5"/>
    <x v="11"/>
    <x v="1"/>
    <x v="1"/>
    <n v="8"/>
    <n v="2026"/>
    <x v="2"/>
    <n v="16"/>
    <x v="0"/>
    <s v="weekday"/>
    <x v="16"/>
    <x v="8"/>
  </r>
  <r>
    <n v="769"/>
    <n v="18"/>
    <n v="5"/>
    <n v="4"/>
    <x v="725"/>
    <n v="6"/>
    <x v="5"/>
    <x v="1"/>
    <x v="1"/>
    <n v="8"/>
    <n v="2026"/>
    <x v="3"/>
    <n v="19"/>
    <x v="4"/>
    <s v="weekday"/>
    <x v="14"/>
    <x v="1"/>
  </r>
  <r>
    <n v="770"/>
    <n v="4"/>
    <n v="7"/>
    <n v="8"/>
    <x v="726"/>
    <n v="1"/>
    <x v="7"/>
    <x v="1"/>
    <x v="2"/>
    <n v="8"/>
    <n v="2026"/>
    <x v="4"/>
    <n v="16"/>
    <x v="5"/>
    <s v="weekday"/>
    <x v="3"/>
    <x v="7"/>
  </r>
  <r>
    <n v="771"/>
    <n v="20"/>
    <n v="10"/>
    <n v="3"/>
    <x v="727"/>
    <n v="5"/>
    <x v="11"/>
    <x v="0"/>
    <x v="2"/>
    <n v="8"/>
    <n v="2026"/>
    <x v="11"/>
    <n v="20"/>
    <x v="6"/>
    <s v="weekday"/>
    <x v="1"/>
    <x v="6"/>
  </r>
  <r>
    <n v="772"/>
    <n v="1"/>
    <n v="15"/>
    <n v="10"/>
    <x v="728"/>
    <n v="4"/>
    <x v="4"/>
    <x v="1"/>
    <x v="2"/>
    <n v="8"/>
    <n v="2026"/>
    <x v="3"/>
    <n v="18"/>
    <x v="0"/>
    <s v="weekday"/>
    <x v="5"/>
    <x v="3"/>
  </r>
  <r>
    <n v="773"/>
    <n v="12"/>
    <n v="15"/>
    <n v="6"/>
    <x v="729"/>
    <n v="3"/>
    <x v="8"/>
    <x v="1"/>
    <x v="2"/>
    <n v="8"/>
    <n v="2026"/>
    <x v="3"/>
    <n v="15"/>
    <x v="3"/>
    <s v="weekday"/>
    <x v="5"/>
    <x v="0"/>
  </r>
  <r>
    <n v="774"/>
    <n v="6"/>
    <n v="5"/>
    <n v="6"/>
    <x v="258"/>
    <n v="3"/>
    <x v="9"/>
    <x v="1"/>
    <x v="1"/>
    <n v="9"/>
    <n v="2026"/>
    <x v="1"/>
    <n v="21"/>
    <x v="3"/>
    <s v="weekday"/>
    <x v="14"/>
    <x v="0"/>
  </r>
  <r>
    <n v="775"/>
    <n v="20"/>
    <n v="2"/>
    <n v="1"/>
    <x v="730"/>
    <n v="1"/>
    <x v="1"/>
    <x v="1"/>
    <x v="0"/>
    <n v="9"/>
    <n v="2026"/>
    <x v="0"/>
    <n v="15"/>
    <x v="1"/>
    <s v="Weekend"/>
    <x v="8"/>
    <x v="5"/>
  </r>
  <r>
    <n v="776"/>
    <n v="13"/>
    <n v="3"/>
    <n v="5"/>
    <x v="51"/>
    <n v="2"/>
    <x v="12"/>
    <x v="1"/>
    <x v="2"/>
    <n v="8"/>
    <n v="2026"/>
    <x v="7"/>
    <n v="17"/>
    <x v="5"/>
    <s v="weekday"/>
    <x v="0"/>
    <x v="8"/>
  </r>
  <r>
    <n v="777"/>
    <n v="17"/>
    <n v="18"/>
    <n v="10"/>
    <x v="731"/>
    <n v="2"/>
    <x v="12"/>
    <x v="1"/>
    <x v="0"/>
    <n v="8"/>
    <n v="2026"/>
    <x v="10"/>
    <n v="20"/>
    <x v="0"/>
    <s v="weekday"/>
    <x v="9"/>
    <x v="3"/>
  </r>
  <r>
    <n v="778"/>
    <n v="18"/>
    <n v="10"/>
    <n v="10"/>
    <x v="732"/>
    <n v="3"/>
    <x v="8"/>
    <x v="0"/>
    <x v="2"/>
    <n v="8"/>
    <n v="2026"/>
    <x v="5"/>
    <n v="17"/>
    <x v="5"/>
    <s v="weekday"/>
    <x v="1"/>
    <x v="3"/>
  </r>
  <r>
    <n v="779"/>
    <n v="1"/>
    <n v="10"/>
    <n v="10"/>
    <x v="733"/>
    <n v="2"/>
    <x v="12"/>
    <x v="1"/>
    <x v="0"/>
    <n v="8"/>
    <n v="2026"/>
    <x v="5"/>
    <n v="14"/>
    <x v="4"/>
    <s v="weekday"/>
    <x v="1"/>
    <x v="3"/>
  </r>
  <r>
    <n v="780"/>
    <n v="12"/>
    <n v="11"/>
    <n v="6"/>
    <x v="473"/>
    <n v="2"/>
    <x v="12"/>
    <x v="1"/>
    <x v="2"/>
    <n v="8"/>
    <n v="2026"/>
    <x v="5"/>
    <n v="14"/>
    <x v="5"/>
    <s v="weekday"/>
    <x v="19"/>
    <x v="0"/>
  </r>
  <r>
    <n v="781"/>
    <n v="20"/>
    <n v="20"/>
    <n v="3"/>
    <x v="734"/>
    <n v="6"/>
    <x v="14"/>
    <x v="1"/>
    <x v="0"/>
    <n v="10"/>
    <n v="2026"/>
    <x v="5"/>
    <n v="23"/>
    <x v="2"/>
    <s v="Weekend"/>
    <x v="4"/>
    <x v="6"/>
  </r>
  <r>
    <n v="782"/>
    <n v="1"/>
    <n v="5"/>
    <n v="6"/>
    <x v="735"/>
    <n v="3"/>
    <x v="8"/>
    <x v="1"/>
    <x v="0"/>
    <n v="8"/>
    <n v="2026"/>
    <x v="10"/>
    <n v="17"/>
    <x v="3"/>
    <s v="weekday"/>
    <x v="14"/>
    <x v="0"/>
  </r>
  <r>
    <n v="783"/>
    <n v="8"/>
    <n v="7"/>
    <n v="1"/>
    <x v="336"/>
    <n v="2"/>
    <x v="12"/>
    <x v="1"/>
    <x v="0"/>
    <n v="8"/>
    <n v="2026"/>
    <x v="4"/>
    <n v="18"/>
    <x v="5"/>
    <s v="weekday"/>
    <x v="3"/>
    <x v="5"/>
  </r>
  <r>
    <n v="784"/>
    <n v="12"/>
    <n v="14"/>
    <n v="8"/>
    <x v="736"/>
    <n v="3"/>
    <x v="8"/>
    <x v="1"/>
    <x v="1"/>
    <n v="8"/>
    <n v="2026"/>
    <x v="2"/>
    <n v="14"/>
    <x v="5"/>
    <s v="weekday"/>
    <x v="2"/>
    <x v="7"/>
  </r>
  <r>
    <n v="785"/>
    <n v="17"/>
    <n v="10"/>
    <n v="1"/>
    <x v="737"/>
    <n v="3"/>
    <x v="9"/>
    <x v="1"/>
    <x v="2"/>
    <n v="9"/>
    <n v="2026"/>
    <x v="7"/>
    <n v="15"/>
    <x v="2"/>
    <s v="Weekend"/>
    <x v="1"/>
    <x v="5"/>
  </r>
  <r>
    <n v="786"/>
    <n v="9"/>
    <n v="10"/>
    <n v="1"/>
    <x v="382"/>
    <n v="5"/>
    <x v="11"/>
    <x v="1"/>
    <x v="2"/>
    <n v="8"/>
    <n v="2026"/>
    <x v="3"/>
    <n v="19"/>
    <x v="6"/>
    <s v="weekday"/>
    <x v="1"/>
    <x v="5"/>
  </r>
  <r>
    <n v="787"/>
    <n v="19"/>
    <n v="8"/>
    <n v="4"/>
    <x v="738"/>
    <n v="4"/>
    <x v="2"/>
    <x v="1"/>
    <x v="1"/>
    <n v="9"/>
    <n v="2026"/>
    <x v="3"/>
    <n v="17"/>
    <x v="2"/>
    <s v="Weekend"/>
    <x v="7"/>
    <x v="1"/>
  </r>
  <r>
    <n v="788"/>
    <n v="7"/>
    <n v="3"/>
    <n v="10"/>
    <x v="739"/>
    <n v="6"/>
    <x v="5"/>
    <x v="1"/>
    <x v="1"/>
    <n v="8"/>
    <n v="2026"/>
    <x v="4"/>
    <n v="17"/>
    <x v="4"/>
    <s v="weekday"/>
    <x v="0"/>
    <x v="3"/>
  </r>
  <r>
    <n v="789"/>
    <n v="17"/>
    <n v="17"/>
    <n v="3"/>
    <x v="740"/>
    <n v="6"/>
    <x v="5"/>
    <x v="0"/>
    <x v="2"/>
    <n v="8"/>
    <n v="2026"/>
    <x v="4"/>
    <n v="18"/>
    <x v="4"/>
    <s v="weekday"/>
    <x v="16"/>
    <x v="6"/>
  </r>
  <r>
    <n v="790"/>
    <n v="11"/>
    <n v="20"/>
    <n v="6"/>
    <x v="741"/>
    <n v="4"/>
    <x v="2"/>
    <x v="0"/>
    <x v="2"/>
    <n v="9"/>
    <n v="2026"/>
    <x v="0"/>
    <n v="17"/>
    <x v="1"/>
    <s v="Weekend"/>
    <x v="4"/>
    <x v="0"/>
  </r>
  <r>
    <n v="791"/>
    <n v="20"/>
    <n v="12"/>
    <n v="6"/>
    <x v="742"/>
    <n v="1"/>
    <x v="7"/>
    <x v="1"/>
    <x v="0"/>
    <n v="8"/>
    <n v="2026"/>
    <x v="8"/>
    <n v="14"/>
    <x v="3"/>
    <s v="weekday"/>
    <x v="17"/>
    <x v="0"/>
  </r>
  <r>
    <n v="792"/>
    <n v="4"/>
    <n v="8"/>
    <n v="3"/>
    <x v="743"/>
    <n v="6"/>
    <x v="5"/>
    <x v="1"/>
    <x v="2"/>
    <n v="8"/>
    <n v="2026"/>
    <x v="0"/>
    <n v="19"/>
    <x v="0"/>
    <s v="weekday"/>
    <x v="7"/>
    <x v="6"/>
  </r>
  <r>
    <n v="793"/>
    <n v="15"/>
    <n v="19"/>
    <n v="4"/>
    <x v="744"/>
    <n v="1"/>
    <x v="7"/>
    <x v="1"/>
    <x v="2"/>
    <n v="8"/>
    <n v="2026"/>
    <x v="10"/>
    <n v="18"/>
    <x v="4"/>
    <s v="weekday"/>
    <x v="18"/>
    <x v="1"/>
  </r>
  <r>
    <n v="794"/>
    <n v="6"/>
    <n v="9"/>
    <n v="3"/>
    <x v="745"/>
    <n v="6"/>
    <x v="5"/>
    <x v="1"/>
    <x v="2"/>
    <n v="8"/>
    <n v="2026"/>
    <x v="2"/>
    <n v="16"/>
    <x v="5"/>
    <s v="weekday"/>
    <x v="10"/>
    <x v="6"/>
  </r>
  <r>
    <n v="795"/>
    <n v="6"/>
    <n v="17"/>
    <n v="6"/>
    <x v="746"/>
    <n v="5"/>
    <x v="6"/>
    <x v="1"/>
    <x v="2"/>
    <n v="9"/>
    <n v="2026"/>
    <x v="11"/>
    <n v="18"/>
    <x v="2"/>
    <s v="Weekend"/>
    <x v="16"/>
    <x v="0"/>
  </r>
  <r>
    <n v="796"/>
    <n v="19"/>
    <n v="19"/>
    <n v="5"/>
    <x v="747"/>
    <n v="5"/>
    <x v="11"/>
    <x v="1"/>
    <x v="1"/>
    <n v="8"/>
    <n v="2026"/>
    <x v="0"/>
    <n v="17"/>
    <x v="4"/>
    <s v="weekday"/>
    <x v="18"/>
    <x v="8"/>
  </r>
  <r>
    <n v="797"/>
    <n v="17"/>
    <n v="5"/>
    <n v="2"/>
    <x v="748"/>
    <n v="4"/>
    <x v="2"/>
    <x v="1"/>
    <x v="1"/>
    <n v="9"/>
    <n v="2026"/>
    <x v="8"/>
    <n v="22"/>
    <x v="5"/>
    <s v="weekday"/>
    <x v="14"/>
    <x v="9"/>
  </r>
  <r>
    <n v="798"/>
    <n v="1"/>
    <n v="8"/>
    <n v="2"/>
    <x v="749"/>
    <n v="4"/>
    <x v="2"/>
    <x v="1"/>
    <x v="1"/>
    <n v="9"/>
    <n v="2026"/>
    <x v="11"/>
    <n v="23"/>
    <x v="6"/>
    <s v="weekday"/>
    <x v="7"/>
    <x v="9"/>
  </r>
  <r>
    <n v="799"/>
    <n v="4"/>
    <n v="12"/>
    <n v="3"/>
    <x v="750"/>
    <n v="6"/>
    <x v="5"/>
    <x v="1"/>
    <x v="2"/>
    <n v="8"/>
    <n v="2026"/>
    <x v="4"/>
    <n v="14"/>
    <x v="4"/>
    <s v="weekday"/>
    <x v="17"/>
    <x v="6"/>
  </r>
  <r>
    <n v="800"/>
    <n v="9"/>
    <n v="13"/>
    <n v="5"/>
    <x v="634"/>
    <n v="5"/>
    <x v="11"/>
    <x v="0"/>
    <x v="1"/>
    <n v="8"/>
    <n v="2026"/>
    <x v="9"/>
    <n v="17"/>
    <x v="0"/>
    <s v="weekday"/>
    <x v="11"/>
    <x v="8"/>
  </r>
  <r>
    <n v="801"/>
    <n v="15"/>
    <n v="9"/>
    <n v="5"/>
    <x v="751"/>
    <n v="6"/>
    <x v="5"/>
    <x v="0"/>
    <x v="0"/>
    <n v="8"/>
    <n v="2026"/>
    <x v="1"/>
    <n v="20"/>
    <x v="6"/>
    <s v="weekday"/>
    <x v="10"/>
    <x v="8"/>
  </r>
  <r>
    <n v="802"/>
    <n v="17"/>
    <n v="16"/>
    <n v="1"/>
    <x v="752"/>
    <n v="1"/>
    <x v="7"/>
    <x v="0"/>
    <x v="1"/>
    <n v="8"/>
    <n v="2026"/>
    <x v="9"/>
    <n v="16"/>
    <x v="6"/>
    <s v="weekday"/>
    <x v="12"/>
    <x v="5"/>
  </r>
  <r>
    <n v="803"/>
    <n v="2"/>
    <n v="5"/>
    <n v="9"/>
    <x v="753"/>
    <n v="3"/>
    <x v="10"/>
    <x v="1"/>
    <x v="1"/>
    <n v="10"/>
    <n v="2026"/>
    <x v="10"/>
    <n v="21"/>
    <x v="2"/>
    <s v="Weekend"/>
    <x v="14"/>
    <x v="2"/>
  </r>
  <r>
    <n v="804"/>
    <n v="13"/>
    <n v="6"/>
    <n v="7"/>
    <x v="754"/>
    <n v="2"/>
    <x v="3"/>
    <x v="1"/>
    <x v="2"/>
    <n v="9"/>
    <n v="2026"/>
    <x v="5"/>
    <n v="21"/>
    <x v="6"/>
    <s v="weekday"/>
    <x v="13"/>
    <x v="4"/>
  </r>
  <r>
    <n v="805"/>
    <n v="10"/>
    <n v="17"/>
    <n v="9"/>
    <x v="755"/>
    <n v="6"/>
    <x v="0"/>
    <x v="1"/>
    <x v="2"/>
    <n v="9"/>
    <n v="2026"/>
    <x v="7"/>
    <n v="21"/>
    <x v="6"/>
    <s v="weekday"/>
    <x v="16"/>
    <x v="2"/>
  </r>
  <r>
    <n v="806"/>
    <n v="11"/>
    <n v="14"/>
    <n v="6"/>
    <x v="756"/>
    <n v="4"/>
    <x v="2"/>
    <x v="1"/>
    <x v="0"/>
    <n v="9"/>
    <n v="2026"/>
    <x v="7"/>
    <n v="22"/>
    <x v="3"/>
    <s v="weekday"/>
    <x v="2"/>
    <x v="0"/>
  </r>
  <r>
    <n v="807"/>
    <n v="16"/>
    <n v="16"/>
    <n v="9"/>
    <x v="757"/>
    <n v="5"/>
    <x v="6"/>
    <x v="1"/>
    <x v="2"/>
    <n v="9"/>
    <n v="2026"/>
    <x v="7"/>
    <n v="15"/>
    <x v="1"/>
    <s v="Weekend"/>
    <x v="12"/>
    <x v="2"/>
  </r>
  <r>
    <n v="808"/>
    <n v="5"/>
    <n v="19"/>
    <n v="10"/>
    <x v="758"/>
    <n v="4"/>
    <x v="4"/>
    <x v="1"/>
    <x v="0"/>
    <n v="8"/>
    <n v="2026"/>
    <x v="7"/>
    <n v="15"/>
    <x v="6"/>
    <s v="weekday"/>
    <x v="18"/>
    <x v="3"/>
  </r>
  <r>
    <n v="809"/>
    <n v="20"/>
    <n v="2"/>
    <n v="4"/>
    <x v="759"/>
    <n v="3"/>
    <x v="10"/>
    <x v="1"/>
    <x v="0"/>
    <n v="10"/>
    <n v="2026"/>
    <x v="5"/>
    <n v="23"/>
    <x v="2"/>
    <s v="Weekend"/>
    <x v="8"/>
    <x v="1"/>
  </r>
  <r>
    <n v="810"/>
    <n v="20"/>
    <n v="15"/>
    <n v="1"/>
    <x v="760"/>
    <n v="4"/>
    <x v="4"/>
    <x v="1"/>
    <x v="0"/>
    <n v="8"/>
    <n v="2026"/>
    <x v="5"/>
    <n v="20"/>
    <x v="6"/>
    <s v="weekday"/>
    <x v="5"/>
    <x v="5"/>
  </r>
  <r>
    <n v="811"/>
    <n v="15"/>
    <n v="5"/>
    <n v="7"/>
    <x v="761"/>
    <n v="2"/>
    <x v="3"/>
    <x v="1"/>
    <x v="1"/>
    <n v="9"/>
    <n v="2026"/>
    <x v="1"/>
    <n v="23"/>
    <x v="5"/>
    <s v="weekday"/>
    <x v="14"/>
    <x v="4"/>
  </r>
  <r>
    <n v="812"/>
    <n v="11"/>
    <n v="9"/>
    <n v="3"/>
    <x v="762"/>
    <n v="2"/>
    <x v="12"/>
    <x v="1"/>
    <x v="0"/>
    <n v="8"/>
    <n v="2026"/>
    <x v="2"/>
    <n v="20"/>
    <x v="6"/>
    <s v="weekday"/>
    <x v="10"/>
    <x v="6"/>
  </r>
  <r>
    <n v="813"/>
    <n v="7"/>
    <n v="6"/>
    <n v="8"/>
    <x v="763"/>
    <n v="1"/>
    <x v="7"/>
    <x v="1"/>
    <x v="0"/>
    <n v="8"/>
    <n v="2026"/>
    <x v="0"/>
    <n v="16"/>
    <x v="4"/>
    <s v="weekday"/>
    <x v="13"/>
    <x v="7"/>
  </r>
  <r>
    <n v="814"/>
    <n v="6"/>
    <n v="8"/>
    <n v="10"/>
    <x v="764"/>
    <n v="2"/>
    <x v="3"/>
    <x v="1"/>
    <x v="1"/>
    <n v="9"/>
    <n v="2026"/>
    <x v="11"/>
    <n v="21"/>
    <x v="3"/>
    <s v="weekday"/>
    <x v="7"/>
    <x v="3"/>
  </r>
  <r>
    <n v="815"/>
    <n v="1"/>
    <n v="9"/>
    <n v="10"/>
    <x v="765"/>
    <n v="3"/>
    <x v="9"/>
    <x v="1"/>
    <x v="1"/>
    <n v="9"/>
    <n v="2026"/>
    <x v="8"/>
    <n v="14"/>
    <x v="2"/>
    <s v="Weekend"/>
    <x v="10"/>
    <x v="3"/>
  </r>
  <r>
    <n v="816"/>
    <n v="18"/>
    <n v="15"/>
    <n v="9"/>
    <x v="766"/>
    <n v="1"/>
    <x v="7"/>
    <x v="1"/>
    <x v="0"/>
    <n v="8"/>
    <n v="2026"/>
    <x v="4"/>
    <n v="20"/>
    <x v="4"/>
    <s v="weekday"/>
    <x v="5"/>
    <x v="2"/>
  </r>
  <r>
    <n v="817"/>
    <n v="17"/>
    <n v="4"/>
    <n v="4"/>
    <x v="767"/>
    <n v="4"/>
    <x v="2"/>
    <x v="1"/>
    <x v="1"/>
    <n v="9"/>
    <n v="2026"/>
    <x v="11"/>
    <n v="18"/>
    <x v="2"/>
    <s v="Weekend"/>
    <x v="15"/>
    <x v="1"/>
  </r>
  <r>
    <n v="818"/>
    <n v="10"/>
    <n v="19"/>
    <n v="6"/>
    <x v="768"/>
    <n v="3"/>
    <x v="9"/>
    <x v="1"/>
    <x v="2"/>
    <n v="9"/>
    <n v="2026"/>
    <x v="7"/>
    <n v="18"/>
    <x v="2"/>
    <s v="Weekend"/>
    <x v="18"/>
    <x v="0"/>
  </r>
  <r>
    <n v="819"/>
    <n v="3"/>
    <n v="17"/>
    <n v="9"/>
    <x v="769"/>
    <n v="2"/>
    <x v="12"/>
    <x v="1"/>
    <x v="1"/>
    <n v="8"/>
    <n v="2026"/>
    <x v="4"/>
    <n v="19"/>
    <x v="5"/>
    <s v="weekday"/>
    <x v="16"/>
    <x v="2"/>
  </r>
  <r>
    <n v="820"/>
    <n v="18"/>
    <n v="11"/>
    <n v="6"/>
    <x v="770"/>
    <n v="2"/>
    <x v="3"/>
    <x v="0"/>
    <x v="1"/>
    <n v="9"/>
    <n v="2026"/>
    <x v="6"/>
    <n v="18"/>
    <x v="2"/>
    <s v="Weekend"/>
    <x v="19"/>
    <x v="0"/>
  </r>
  <r>
    <n v="821"/>
    <n v="5"/>
    <n v="10"/>
    <n v="1"/>
    <x v="771"/>
    <n v="2"/>
    <x v="12"/>
    <x v="1"/>
    <x v="0"/>
    <n v="8"/>
    <n v="2026"/>
    <x v="10"/>
    <n v="15"/>
    <x v="6"/>
    <s v="weekday"/>
    <x v="1"/>
    <x v="5"/>
  </r>
  <r>
    <n v="822"/>
    <n v="7"/>
    <n v="1"/>
    <n v="1"/>
    <x v="772"/>
    <n v="6"/>
    <x v="14"/>
    <x v="1"/>
    <x v="0"/>
    <n v="10"/>
    <n v="2026"/>
    <x v="4"/>
    <n v="22"/>
    <x v="1"/>
    <s v="Weekend"/>
    <x v="6"/>
    <x v="5"/>
  </r>
  <r>
    <n v="823"/>
    <n v="9"/>
    <n v="6"/>
    <n v="7"/>
    <x v="773"/>
    <n v="2"/>
    <x v="3"/>
    <x v="1"/>
    <x v="0"/>
    <n v="9"/>
    <n v="2026"/>
    <x v="1"/>
    <n v="20"/>
    <x v="1"/>
    <s v="Weekend"/>
    <x v="13"/>
    <x v="4"/>
  </r>
  <r>
    <n v="824"/>
    <n v="11"/>
    <n v="16"/>
    <n v="2"/>
    <x v="774"/>
    <n v="2"/>
    <x v="12"/>
    <x v="1"/>
    <x v="2"/>
    <n v="8"/>
    <n v="2026"/>
    <x v="9"/>
    <n v="20"/>
    <x v="3"/>
    <s v="weekday"/>
    <x v="12"/>
    <x v="9"/>
  </r>
  <r>
    <n v="825"/>
    <n v="5"/>
    <n v="18"/>
    <n v="5"/>
    <x v="775"/>
    <n v="4"/>
    <x v="4"/>
    <x v="1"/>
    <x v="2"/>
    <n v="8"/>
    <n v="2026"/>
    <x v="1"/>
    <n v="17"/>
    <x v="5"/>
    <s v="weekday"/>
    <x v="9"/>
    <x v="8"/>
  </r>
  <r>
    <n v="826"/>
    <n v="19"/>
    <n v="7"/>
    <n v="10"/>
    <x v="776"/>
    <n v="6"/>
    <x v="5"/>
    <x v="1"/>
    <x v="2"/>
    <n v="8"/>
    <n v="2026"/>
    <x v="4"/>
    <n v="17"/>
    <x v="3"/>
    <s v="weekday"/>
    <x v="3"/>
    <x v="3"/>
  </r>
  <r>
    <n v="827"/>
    <n v="17"/>
    <n v="6"/>
    <n v="4"/>
    <x v="777"/>
    <n v="5"/>
    <x v="6"/>
    <x v="0"/>
    <x v="1"/>
    <n v="9"/>
    <n v="2026"/>
    <x v="9"/>
    <n v="20"/>
    <x v="2"/>
    <s v="Weekend"/>
    <x v="13"/>
    <x v="1"/>
  </r>
  <r>
    <n v="828"/>
    <n v="3"/>
    <n v="4"/>
    <n v="8"/>
    <x v="778"/>
    <n v="3"/>
    <x v="9"/>
    <x v="1"/>
    <x v="1"/>
    <n v="9"/>
    <n v="2026"/>
    <x v="1"/>
    <n v="15"/>
    <x v="2"/>
    <s v="Weekend"/>
    <x v="15"/>
    <x v="7"/>
  </r>
  <r>
    <n v="829"/>
    <n v="8"/>
    <n v="11"/>
    <n v="9"/>
    <x v="96"/>
    <n v="4"/>
    <x v="4"/>
    <x v="1"/>
    <x v="1"/>
    <n v="8"/>
    <n v="2026"/>
    <x v="9"/>
    <n v="15"/>
    <x v="6"/>
    <s v="weekday"/>
    <x v="19"/>
    <x v="2"/>
  </r>
  <r>
    <n v="830"/>
    <n v="4"/>
    <n v="9"/>
    <n v="6"/>
    <x v="532"/>
    <n v="4"/>
    <x v="2"/>
    <x v="1"/>
    <x v="0"/>
    <n v="9"/>
    <n v="2026"/>
    <x v="6"/>
    <n v="23"/>
    <x v="3"/>
    <s v="weekday"/>
    <x v="10"/>
    <x v="0"/>
  </r>
  <r>
    <n v="831"/>
    <n v="2"/>
    <n v="14"/>
    <n v="2"/>
    <x v="779"/>
    <n v="4"/>
    <x v="2"/>
    <x v="1"/>
    <x v="2"/>
    <n v="9"/>
    <n v="2026"/>
    <x v="7"/>
    <n v="16"/>
    <x v="2"/>
    <s v="Weekend"/>
    <x v="2"/>
    <x v="9"/>
  </r>
  <r>
    <n v="832"/>
    <n v="7"/>
    <n v="8"/>
    <n v="7"/>
    <x v="780"/>
    <n v="6"/>
    <x v="5"/>
    <x v="1"/>
    <x v="0"/>
    <n v="8"/>
    <n v="2026"/>
    <x v="0"/>
    <n v="17"/>
    <x v="0"/>
    <s v="weekday"/>
    <x v="7"/>
    <x v="4"/>
  </r>
  <r>
    <n v="833"/>
    <n v="18"/>
    <n v="13"/>
    <n v="7"/>
    <x v="781"/>
    <n v="4"/>
    <x v="2"/>
    <x v="1"/>
    <x v="0"/>
    <n v="9"/>
    <n v="2026"/>
    <x v="8"/>
    <n v="15"/>
    <x v="1"/>
    <s v="Weekend"/>
    <x v="11"/>
    <x v="4"/>
  </r>
  <r>
    <n v="834"/>
    <n v="5"/>
    <n v="20"/>
    <n v="10"/>
    <x v="782"/>
    <n v="2"/>
    <x v="12"/>
    <x v="1"/>
    <x v="1"/>
    <n v="8"/>
    <n v="2026"/>
    <x v="7"/>
    <n v="14"/>
    <x v="3"/>
    <s v="weekday"/>
    <x v="4"/>
    <x v="3"/>
  </r>
  <r>
    <n v="835"/>
    <n v="9"/>
    <n v="13"/>
    <n v="10"/>
    <x v="783"/>
    <n v="6"/>
    <x v="0"/>
    <x v="1"/>
    <x v="0"/>
    <n v="9"/>
    <n v="2026"/>
    <x v="8"/>
    <n v="18"/>
    <x v="1"/>
    <s v="Weekend"/>
    <x v="11"/>
    <x v="3"/>
  </r>
  <r>
    <n v="836"/>
    <n v="10"/>
    <n v="20"/>
    <n v="8"/>
    <x v="784"/>
    <n v="2"/>
    <x v="3"/>
    <x v="1"/>
    <x v="2"/>
    <n v="9"/>
    <n v="2026"/>
    <x v="1"/>
    <n v="23"/>
    <x v="5"/>
    <s v="weekday"/>
    <x v="4"/>
    <x v="7"/>
  </r>
  <r>
    <n v="837"/>
    <n v="12"/>
    <n v="16"/>
    <n v="2"/>
    <x v="785"/>
    <n v="2"/>
    <x v="3"/>
    <x v="1"/>
    <x v="0"/>
    <n v="9"/>
    <n v="2026"/>
    <x v="7"/>
    <n v="19"/>
    <x v="2"/>
    <s v="Weekend"/>
    <x v="12"/>
    <x v="9"/>
  </r>
  <r>
    <n v="838"/>
    <n v="17"/>
    <n v="18"/>
    <n v="4"/>
    <x v="786"/>
    <n v="4"/>
    <x v="4"/>
    <x v="0"/>
    <x v="2"/>
    <n v="8"/>
    <n v="2026"/>
    <x v="3"/>
    <n v="18"/>
    <x v="0"/>
    <s v="weekday"/>
    <x v="9"/>
    <x v="1"/>
  </r>
  <r>
    <n v="839"/>
    <n v="1"/>
    <n v="6"/>
    <n v="10"/>
    <x v="744"/>
    <n v="4"/>
    <x v="4"/>
    <x v="1"/>
    <x v="0"/>
    <n v="8"/>
    <n v="2026"/>
    <x v="10"/>
    <n v="18"/>
    <x v="4"/>
    <s v="weekday"/>
    <x v="13"/>
    <x v="3"/>
  </r>
  <r>
    <n v="840"/>
    <n v="2"/>
    <n v="11"/>
    <n v="10"/>
    <x v="787"/>
    <n v="4"/>
    <x v="2"/>
    <x v="1"/>
    <x v="1"/>
    <n v="9"/>
    <n v="2026"/>
    <x v="2"/>
    <n v="22"/>
    <x v="0"/>
    <s v="weekday"/>
    <x v="19"/>
    <x v="3"/>
  </r>
  <r>
    <n v="841"/>
    <n v="17"/>
    <n v="5"/>
    <n v="1"/>
    <x v="788"/>
    <n v="2"/>
    <x v="3"/>
    <x v="1"/>
    <x v="0"/>
    <n v="9"/>
    <n v="2026"/>
    <x v="7"/>
    <n v="19"/>
    <x v="2"/>
    <s v="Weekend"/>
    <x v="14"/>
    <x v="5"/>
  </r>
  <r>
    <n v="842"/>
    <n v="3"/>
    <n v="2"/>
    <n v="8"/>
    <x v="789"/>
    <n v="3"/>
    <x v="9"/>
    <x v="1"/>
    <x v="0"/>
    <n v="9"/>
    <n v="2026"/>
    <x v="0"/>
    <n v="14"/>
    <x v="2"/>
    <s v="Weekend"/>
    <x v="8"/>
    <x v="7"/>
  </r>
  <r>
    <n v="843"/>
    <n v="4"/>
    <n v="8"/>
    <n v="6"/>
    <x v="89"/>
    <n v="2"/>
    <x v="12"/>
    <x v="1"/>
    <x v="0"/>
    <n v="8"/>
    <n v="2026"/>
    <x v="3"/>
    <n v="19"/>
    <x v="4"/>
    <s v="weekday"/>
    <x v="7"/>
    <x v="0"/>
  </r>
  <r>
    <n v="844"/>
    <n v="9"/>
    <n v="17"/>
    <n v="3"/>
    <x v="790"/>
    <n v="1"/>
    <x v="1"/>
    <x v="1"/>
    <x v="1"/>
    <n v="9"/>
    <n v="2026"/>
    <x v="2"/>
    <n v="18"/>
    <x v="1"/>
    <s v="Weekend"/>
    <x v="16"/>
    <x v="6"/>
  </r>
  <r>
    <n v="845"/>
    <n v="9"/>
    <n v="5"/>
    <n v="6"/>
    <x v="791"/>
    <n v="6"/>
    <x v="5"/>
    <x v="1"/>
    <x v="1"/>
    <n v="8"/>
    <n v="2026"/>
    <x v="2"/>
    <n v="14"/>
    <x v="0"/>
    <s v="weekday"/>
    <x v="14"/>
    <x v="0"/>
  </r>
  <r>
    <n v="846"/>
    <n v="13"/>
    <n v="19"/>
    <n v="6"/>
    <x v="792"/>
    <n v="1"/>
    <x v="1"/>
    <x v="1"/>
    <x v="1"/>
    <n v="9"/>
    <n v="2026"/>
    <x v="10"/>
    <n v="19"/>
    <x v="1"/>
    <s v="Weekend"/>
    <x v="18"/>
    <x v="0"/>
  </r>
  <r>
    <n v="847"/>
    <n v="11"/>
    <n v="18"/>
    <n v="4"/>
    <x v="793"/>
    <n v="6"/>
    <x v="5"/>
    <x v="1"/>
    <x v="0"/>
    <n v="8"/>
    <n v="2026"/>
    <x v="0"/>
    <n v="19"/>
    <x v="5"/>
    <s v="weekday"/>
    <x v="9"/>
    <x v="1"/>
  </r>
  <r>
    <n v="848"/>
    <n v="7"/>
    <n v="12"/>
    <n v="9"/>
    <x v="794"/>
    <n v="5"/>
    <x v="11"/>
    <x v="1"/>
    <x v="0"/>
    <n v="8"/>
    <n v="2026"/>
    <x v="1"/>
    <n v="19"/>
    <x v="4"/>
    <s v="weekday"/>
    <x v="17"/>
    <x v="2"/>
  </r>
  <r>
    <n v="849"/>
    <n v="2"/>
    <n v="15"/>
    <n v="3"/>
    <x v="795"/>
    <n v="2"/>
    <x v="3"/>
    <x v="1"/>
    <x v="0"/>
    <n v="9"/>
    <n v="2026"/>
    <x v="8"/>
    <n v="15"/>
    <x v="2"/>
    <s v="Weekend"/>
    <x v="5"/>
    <x v="6"/>
  </r>
  <r>
    <n v="850"/>
    <n v="6"/>
    <n v="1"/>
    <n v="2"/>
    <x v="796"/>
    <n v="3"/>
    <x v="10"/>
    <x v="1"/>
    <x v="1"/>
    <n v="10"/>
    <n v="2026"/>
    <x v="4"/>
    <n v="22"/>
    <x v="1"/>
    <s v="Weekend"/>
    <x v="6"/>
    <x v="9"/>
  </r>
  <r>
    <n v="851"/>
    <n v="12"/>
    <n v="14"/>
    <n v="9"/>
    <x v="603"/>
    <n v="5"/>
    <x v="6"/>
    <x v="1"/>
    <x v="2"/>
    <n v="9"/>
    <n v="2026"/>
    <x v="4"/>
    <n v="23"/>
    <x v="4"/>
    <s v="weekday"/>
    <x v="2"/>
    <x v="2"/>
  </r>
  <r>
    <n v="852"/>
    <n v="17"/>
    <n v="3"/>
    <n v="4"/>
    <x v="797"/>
    <n v="3"/>
    <x v="8"/>
    <x v="1"/>
    <x v="0"/>
    <n v="8"/>
    <n v="2026"/>
    <x v="6"/>
    <n v="15"/>
    <x v="6"/>
    <s v="weekday"/>
    <x v="0"/>
    <x v="1"/>
  </r>
  <r>
    <n v="853"/>
    <n v="16"/>
    <n v="15"/>
    <n v="10"/>
    <x v="798"/>
    <n v="3"/>
    <x v="9"/>
    <x v="1"/>
    <x v="0"/>
    <n v="9"/>
    <n v="2026"/>
    <x v="6"/>
    <n v="23"/>
    <x v="5"/>
    <s v="weekday"/>
    <x v="5"/>
    <x v="3"/>
  </r>
  <r>
    <n v="854"/>
    <n v="3"/>
    <n v="20"/>
    <n v="2"/>
    <x v="799"/>
    <n v="4"/>
    <x v="4"/>
    <x v="0"/>
    <x v="2"/>
    <n v="8"/>
    <n v="2026"/>
    <x v="0"/>
    <n v="14"/>
    <x v="3"/>
    <s v="weekday"/>
    <x v="4"/>
    <x v="9"/>
  </r>
  <r>
    <n v="855"/>
    <n v="6"/>
    <n v="15"/>
    <n v="4"/>
    <x v="800"/>
    <n v="1"/>
    <x v="15"/>
    <x v="1"/>
    <x v="1"/>
    <n v="10"/>
    <n v="2026"/>
    <x v="2"/>
    <n v="22"/>
    <x v="1"/>
    <s v="Weekend"/>
    <x v="5"/>
    <x v="1"/>
  </r>
  <r>
    <n v="856"/>
    <n v="4"/>
    <n v="17"/>
    <n v="9"/>
    <x v="801"/>
    <n v="6"/>
    <x v="5"/>
    <x v="1"/>
    <x v="2"/>
    <n v="8"/>
    <n v="2026"/>
    <x v="4"/>
    <n v="16"/>
    <x v="0"/>
    <s v="weekday"/>
    <x v="16"/>
    <x v="2"/>
  </r>
  <r>
    <n v="857"/>
    <n v="8"/>
    <n v="1"/>
    <n v="8"/>
    <x v="801"/>
    <n v="2"/>
    <x v="12"/>
    <x v="0"/>
    <x v="2"/>
    <n v="8"/>
    <n v="2026"/>
    <x v="4"/>
    <n v="16"/>
    <x v="0"/>
    <s v="weekday"/>
    <x v="6"/>
    <x v="7"/>
  </r>
  <r>
    <n v="858"/>
    <n v="18"/>
    <n v="10"/>
    <n v="6"/>
    <x v="802"/>
    <n v="1"/>
    <x v="1"/>
    <x v="1"/>
    <x v="1"/>
    <n v="9"/>
    <n v="2026"/>
    <x v="1"/>
    <n v="15"/>
    <x v="2"/>
    <s v="Weekend"/>
    <x v="1"/>
    <x v="0"/>
  </r>
  <r>
    <n v="859"/>
    <n v="14"/>
    <n v="8"/>
    <n v="3"/>
    <x v="803"/>
    <n v="3"/>
    <x v="8"/>
    <x v="1"/>
    <x v="1"/>
    <n v="8"/>
    <n v="2026"/>
    <x v="9"/>
    <n v="14"/>
    <x v="4"/>
    <s v="weekday"/>
    <x v="7"/>
    <x v="6"/>
  </r>
  <r>
    <n v="860"/>
    <n v="2"/>
    <n v="12"/>
    <n v="4"/>
    <x v="804"/>
    <n v="1"/>
    <x v="1"/>
    <x v="1"/>
    <x v="0"/>
    <n v="9"/>
    <n v="2026"/>
    <x v="5"/>
    <n v="17"/>
    <x v="1"/>
    <s v="Weekend"/>
    <x v="17"/>
    <x v="1"/>
  </r>
  <r>
    <n v="861"/>
    <n v="7"/>
    <n v="7"/>
    <n v="2"/>
    <x v="805"/>
    <n v="4"/>
    <x v="2"/>
    <x v="1"/>
    <x v="0"/>
    <n v="9"/>
    <n v="2026"/>
    <x v="7"/>
    <n v="20"/>
    <x v="2"/>
    <s v="Weekend"/>
    <x v="3"/>
    <x v="9"/>
  </r>
  <r>
    <n v="862"/>
    <n v="3"/>
    <n v="17"/>
    <n v="5"/>
    <x v="806"/>
    <n v="1"/>
    <x v="1"/>
    <x v="1"/>
    <x v="2"/>
    <n v="9"/>
    <n v="2026"/>
    <x v="4"/>
    <n v="15"/>
    <x v="2"/>
    <s v="Weekend"/>
    <x v="16"/>
    <x v="8"/>
  </r>
  <r>
    <n v="863"/>
    <n v="20"/>
    <n v="1"/>
    <n v="4"/>
    <x v="807"/>
    <n v="2"/>
    <x v="13"/>
    <x v="1"/>
    <x v="0"/>
    <n v="10"/>
    <n v="2026"/>
    <x v="4"/>
    <n v="23"/>
    <x v="1"/>
    <s v="Weekend"/>
    <x v="6"/>
    <x v="1"/>
  </r>
  <r>
    <n v="864"/>
    <n v="15"/>
    <n v="18"/>
    <n v="10"/>
    <x v="808"/>
    <n v="5"/>
    <x v="6"/>
    <x v="1"/>
    <x v="1"/>
    <n v="9"/>
    <n v="2026"/>
    <x v="3"/>
    <n v="15"/>
    <x v="2"/>
    <s v="Weekend"/>
    <x v="9"/>
    <x v="3"/>
  </r>
  <r>
    <n v="865"/>
    <n v="7"/>
    <n v="19"/>
    <n v="9"/>
    <x v="809"/>
    <n v="5"/>
    <x v="6"/>
    <x v="1"/>
    <x v="1"/>
    <n v="9"/>
    <n v="2026"/>
    <x v="5"/>
    <n v="23"/>
    <x v="3"/>
    <s v="weekday"/>
    <x v="18"/>
    <x v="2"/>
  </r>
  <r>
    <n v="866"/>
    <n v="7"/>
    <n v="16"/>
    <n v="10"/>
    <x v="810"/>
    <n v="5"/>
    <x v="6"/>
    <x v="1"/>
    <x v="1"/>
    <n v="9"/>
    <n v="2026"/>
    <x v="8"/>
    <n v="14"/>
    <x v="1"/>
    <s v="Weekend"/>
    <x v="12"/>
    <x v="3"/>
  </r>
  <r>
    <n v="867"/>
    <n v="4"/>
    <n v="9"/>
    <n v="6"/>
    <x v="811"/>
    <n v="1"/>
    <x v="7"/>
    <x v="0"/>
    <x v="2"/>
    <n v="8"/>
    <n v="2026"/>
    <x v="10"/>
    <n v="20"/>
    <x v="5"/>
    <s v="weekday"/>
    <x v="10"/>
    <x v="0"/>
  </r>
  <r>
    <n v="868"/>
    <n v="5"/>
    <n v="9"/>
    <n v="8"/>
    <x v="519"/>
    <n v="6"/>
    <x v="5"/>
    <x v="1"/>
    <x v="0"/>
    <n v="8"/>
    <n v="2026"/>
    <x v="5"/>
    <n v="18"/>
    <x v="5"/>
    <s v="weekday"/>
    <x v="10"/>
    <x v="7"/>
  </r>
  <r>
    <n v="869"/>
    <n v="3"/>
    <n v="19"/>
    <n v="3"/>
    <x v="812"/>
    <n v="4"/>
    <x v="4"/>
    <x v="0"/>
    <x v="2"/>
    <n v="8"/>
    <n v="2026"/>
    <x v="3"/>
    <n v="20"/>
    <x v="4"/>
    <s v="weekday"/>
    <x v="18"/>
    <x v="6"/>
  </r>
  <r>
    <n v="870"/>
    <n v="20"/>
    <n v="14"/>
    <n v="2"/>
    <x v="813"/>
    <n v="1"/>
    <x v="15"/>
    <x v="1"/>
    <x v="0"/>
    <n v="10"/>
    <n v="2026"/>
    <x v="10"/>
    <n v="22"/>
    <x v="2"/>
    <s v="Weekend"/>
    <x v="2"/>
    <x v="9"/>
  </r>
  <r>
    <n v="871"/>
    <n v="1"/>
    <n v="3"/>
    <n v="1"/>
    <x v="321"/>
    <n v="5"/>
    <x v="16"/>
    <x v="1"/>
    <x v="2"/>
    <n v="10"/>
    <n v="2026"/>
    <x v="4"/>
    <n v="21"/>
    <x v="2"/>
    <s v="Weekend"/>
    <x v="0"/>
    <x v="5"/>
  </r>
  <r>
    <n v="872"/>
    <n v="19"/>
    <n v="20"/>
    <n v="10"/>
    <x v="93"/>
    <n v="6"/>
    <x v="0"/>
    <x v="1"/>
    <x v="2"/>
    <n v="9"/>
    <n v="2026"/>
    <x v="0"/>
    <n v="23"/>
    <x v="3"/>
    <s v="weekday"/>
    <x v="4"/>
    <x v="3"/>
  </r>
  <r>
    <n v="873"/>
    <n v="19"/>
    <n v="12"/>
    <n v="1"/>
    <x v="814"/>
    <n v="5"/>
    <x v="6"/>
    <x v="1"/>
    <x v="0"/>
    <n v="9"/>
    <n v="2026"/>
    <x v="2"/>
    <n v="22"/>
    <x v="5"/>
    <s v="weekday"/>
    <x v="17"/>
    <x v="5"/>
  </r>
  <r>
    <n v="874"/>
    <n v="3"/>
    <n v="16"/>
    <n v="7"/>
    <x v="815"/>
    <n v="5"/>
    <x v="11"/>
    <x v="1"/>
    <x v="2"/>
    <n v="8"/>
    <n v="2026"/>
    <x v="2"/>
    <n v="20"/>
    <x v="4"/>
    <s v="weekday"/>
    <x v="12"/>
    <x v="4"/>
  </r>
  <r>
    <n v="875"/>
    <n v="6"/>
    <n v="14"/>
    <n v="5"/>
    <x v="816"/>
    <n v="2"/>
    <x v="3"/>
    <x v="1"/>
    <x v="2"/>
    <n v="9"/>
    <n v="2026"/>
    <x v="0"/>
    <n v="22"/>
    <x v="3"/>
    <s v="weekday"/>
    <x v="2"/>
    <x v="8"/>
  </r>
  <r>
    <n v="876"/>
    <n v="7"/>
    <n v="17"/>
    <n v="4"/>
    <x v="817"/>
    <n v="1"/>
    <x v="7"/>
    <x v="1"/>
    <x v="0"/>
    <n v="8"/>
    <n v="2026"/>
    <x v="0"/>
    <n v="17"/>
    <x v="4"/>
    <s v="weekday"/>
    <x v="16"/>
    <x v="1"/>
  </r>
  <r>
    <n v="877"/>
    <n v="6"/>
    <n v="16"/>
    <n v="2"/>
    <x v="71"/>
    <n v="3"/>
    <x v="8"/>
    <x v="1"/>
    <x v="0"/>
    <n v="8"/>
    <n v="2026"/>
    <x v="0"/>
    <n v="15"/>
    <x v="5"/>
    <s v="weekday"/>
    <x v="12"/>
    <x v="9"/>
  </r>
  <r>
    <n v="878"/>
    <n v="19"/>
    <n v="7"/>
    <n v="9"/>
    <x v="818"/>
    <n v="5"/>
    <x v="11"/>
    <x v="1"/>
    <x v="1"/>
    <n v="8"/>
    <n v="2026"/>
    <x v="5"/>
    <n v="16"/>
    <x v="4"/>
    <s v="weekday"/>
    <x v="3"/>
    <x v="2"/>
  </r>
  <r>
    <n v="879"/>
    <n v="13"/>
    <n v="8"/>
    <n v="4"/>
    <x v="819"/>
    <n v="4"/>
    <x v="11"/>
    <x v="1"/>
    <x v="1"/>
    <n v="10"/>
    <n v="2026"/>
    <x v="8"/>
    <n v="21"/>
    <x v="1"/>
    <s v="Weekend"/>
    <x v="7"/>
    <x v="1"/>
  </r>
  <r>
    <n v="880"/>
    <n v="1"/>
    <n v="11"/>
    <n v="8"/>
    <x v="820"/>
    <n v="2"/>
    <x v="3"/>
    <x v="1"/>
    <x v="0"/>
    <n v="9"/>
    <n v="2026"/>
    <x v="4"/>
    <n v="21"/>
    <x v="6"/>
    <s v="weekday"/>
    <x v="19"/>
    <x v="7"/>
  </r>
  <r>
    <n v="881"/>
    <n v="7"/>
    <n v="15"/>
    <n v="1"/>
    <x v="821"/>
    <n v="5"/>
    <x v="16"/>
    <x v="1"/>
    <x v="1"/>
    <n v="10"/>
    <n v="2026"/>
    <x v="10"/>
    <n v="23"/>
    <x v="1"/>
    <s v="Weekend"/>
    <x v="5"/>
    <x v="5"/>
  </r>
  <r>
    <n v="882"/>
    <n v="5"/>
    <n v="10"/>
    <n v="6"/>
    <x v="822"/>
    <n v="5"/>
    <x v="11"/>
    <x v="0"/>
    <x v="1"/>
    <n v="8"/>
    <n v="2026"/>
    <x v="4"/>
    <n v="20"/>
    <x v="6"/>
    <s v="weekday"/>
    <x v="1"/>
    <x v="0"/>
  </r>
  <r>
    <n v="883"/>
    <n v="13"/>
    <n v="9"/>
    <n v="2"/>
    <x v="823"/>
    <n v="1"/>
    <x v="7"/>
    <x v="0"/>
    <x v="1"/>
    <n v="8"/>
    <n v="2026"/>
    <x v="9"/>
    <n v="20"/>
    <x v="4"/>
    <s v="weekday"/>
    <x v="10"/>
    <x v="9"/>
  </r>
  <r>
    <n v="884"/>
    <n v="14"/>
    <n v="18"/>
    <n v="4"/>
    <x v="824"/>
    <n v="4"/>
    <x v="2"/>
    <x v="1"/>
    <x v="1"/>
    <n v="9"/>
    <n v="2026"/>
    <x v="8"/>
    <n v="22"/>
    <x v="3"/>
    <s v="weekday"/>
    <x v="9"/>
    <x v="1"/>
  </r>
  <r>
    <n v="885"/>
    <n v="3"/>
    <n v="16"/>
    <n v="7"/>
    <x v="825"/>
    <n v="5"/>
    <x v="6"/>
    <x v="1"/>
    <x v="2"/>
    <n v="9"/>
    <n v="2026"/>
    <x v="8"/>
    <n v="21"/>
    <x v="6"/>
    <s v="weekday"/>
    <x v="12"/>
    <x v="4"/>
  </r>
  <r>
    <n v="886"/>
    <n v="13"/>
    <n v="9"/>
    <n v="3"/>
    <x v="826"/>
    <n v="1"/>
    <x v="7"/>
    <x v="1"/>
    <x v="1"/>
    <n v="8"/>
    <n v="2026"/>
    <x v="7"/>
    <n v="16"/>
    <x v="3"/>
    <s v="weekday"/>
    <x v="10"/>
    <x v="6"/>
  </r>
  <r>
    <n v="887"/>
    <n v="4"/>
    <n v="4"/>
    <n v="9"/>
    <x v="827"/>
    <n v="6"/>
    <x v="14"/>
    <x v="1"/>
    <x v="0"/>
    <n v="10"/>
    <n v="2026"/>
    <x v="1"/>
    <n v="23"/>
    <x v="1"/>
    <s v="Weekend"/>
    <x v="15"/>
    <x v="2"/>
  </r>
  <r>
    <n v="888"/>
    <n v="17"/>
    <n v="1"/>
    <n v="8"/>
    <x v="828"/>
    <n v="4"/>
    <x v="4"/>
    <x v="1"/>
    <x v="0"/>
    <n v="8"/>
    <n v="2026"/>
    <x v="8"/>
    <n v="14"/>
    <x v="5"/>
    <s v="weekday"/>
    <x v="6"/>
    <x v="7"/>
  </r>
  <r>
    <n v="889"/>
    <n v="18"/>
    <n v="8"/>
    <n v="8"/>
    <x v="829"/>
    <n v="1"/>
    <x v="7"/>
    <x v="0"/>
    <x v="2"/>
    <n v="8"/>
    <n v="2026"/>
    <x v="4"/>
    <n v="19"/>
    <x v="5"/>
    <s v="weekday"/>
    <x v="7"/>
    <x v="7"/>
  </r>
  <r>
    <n v="890"/>
    <n v="10"/>
    <n v="18"/>
    <n v="10"/>
    <x v="830"/>
    <n v="3"/>
    <x v="10"/>
    <x v="1"/>
    <x v="2"/>
    <n v="10"/>
    <n v="2026"/>
    <x v="0"/>
    <n v="23"/>
    <x v="1"/>
    <s v="Weekend"/>
    <x v="9"/>
    <x v="3"/>
  </r>
  <r>
    <n v="891"/>
    <n v="8"/>
    <n v="13"/>
    <n v="4"/>
    <x v="831"/>
    <n v="5"/>
    <x v="6"/>
    <x v="1"/>
    <x v="1"/>
    <n v="9"/>
    <n v="2026"/>
    <x v="7"/>
    <n v="22"/>
    <x v="4"/>
    <s v="weekday"/>
    <x v="11"/>
    <x v="1"/>
  </r>
  <r>
    <n v="892"/>
    <n v="9"/>
    <n v="19"/>
    <n v="9"/>
    <x v="832"/>
    <n v="5"/>
    <x v="11"/>
    <x v="1"/>
    <x v="0"/>
    <n v="8"/>
    <n v="2026"/>
    <x v="6"/>
    <n v="14"/>
    <x v="3"/>
    <s v="weekday"/>
    <x v="18"/>
    <x v="2"/>
  </r>
  <r>
    <n v="893"/>
    <n v="1"/>
    <n v="4"/>
    <n v="7"/>
    <x v="833"/>
    <n v="5"/>
    <x v="11"/>
    <x v="1"/>
    <x v="0"/>
    <n v="8"/>
    <n v="2026"/>
    <x v="0"/>
    <n v="18"/>
    <x v="0"/>
    <s v="weekday"/>
    <x v="15"/>
    <x v="4"/>
  </r>
  <r>
    <n v="894"/>
    <n v="3"/>
    <n v="15"/>
    <n v="2"/>
    <x v="834"/>
    <n v="1"/>
    <x v="7"/>
    <x v="1"/>
    <x v="2"/>
    <n v="8"/>
    <n v="2026"/>
    <x v="6"/>
    <n v="15"/>
    <x v="5"/>
    <s v="weekday"/>
    <x v="5"/>
    <x v="9"/>
  </r>
  <r>
    <n v="895"/>
    <n v="20"/>
    <n v="16"/>
    <n v="7"/>
    <x v="835"/>
    <n v="1"/>
    <x v="1"/>
    <x v="1"/>
    <x v="0"/>
    <n v="9"/>
    <n v="2026"/>
    <x v="2"/>
    <n v="21"/>
    <x v="6"/>
    <s v="weekday"/>
    <x v="12"/>
    <x v="4"/>
  </r>
  <r>
    <n v="896"/>
    <n v="8"/>
    <n v="13"/>
    <n v="5"/>
    <x v="836"/>
    <n v="6"/>
    <x v="0"/>
    <x v="1"/>
    <x v="0"/>
    <n v="9"/>
    <n v="2026"/>
    <x v="6"/>
    <n v="19"/>
    <x v="2"/>
    <s v="Weekend"/>
    <x v="11"/>
    <x v="8"/>
  </r>
  <r>
    <n v="897"/>
    <n v="7"/>
    <n v="9"/>
    <n v="7"/>
    <x v="837"/>
    <n v="3"/>
    <x v="9"/>
    <x v="0"/>
    <x v="0"/>
    <n v="9"/>
    <n v="2026"/>
    <x v="11"/>
    <n v="15"/>
    <x v="2"/>
    <s v="Weekend"/>
    <x v="10"/>
    <x v="4"/>
  </r>
  <r>
    <n v="898"/>
    <n v="11"/>
    <n v="17"/>
    <n v="10"/>
    <x v="207"/>
    <n v="6"/>
    <x v="0"/>
    <x v="1"/>
    <x v="2"/>
    <n v="9"/>
    <n v="2026"/>
    <x v="9"/>
    <n v="18"/>
    <x v="2"/>
    <s v="Weekend"/>
    <x v="16"/>
    <x v="3"/>
  </r>
  <r>
    <n v="899"/>
    <n v="5"/>
    <n v="6"/>
    <n v="3"/>
    <x v="838"/>
    <n v="6"/>
    <x v="5"/>
    <x v="1"/>
    <x v="1"/>
    <n v="8"/>
    <n v="2026"/>
    <x v="6"/>
    <n v="17"/>
    <x v="6"/>
    <s v="weekday"/>
    <x v="13"/>
    <x v="6"/>
  </r>
  <r>
    <n v="900"/>
    <n v="16"/>
    <n v="7"/>
    <n v="4"/>
    <x v="230"/>
    <n v="4"/>
    <x v="2"/>
    <x v="1"/>
    <x v="2"/>
    <n v="9"/>
    <n v="2026"/>
    <x v="0"/>
    <n v="23"/>
    <x v="0"/>
    <s v="weekday"/>
    <x v="3"/>
    <x v="1"/>
  </r>
  <r>
    <n v="901"/>
    <n v="11"/>
    <n v="9"/>
    <n v="10"/>
    <x v="839"/>
    <n v="3"/>
    <x v="9"/>
    <x v="1"/>
    <x v="0"/>
    <n v="9"/>
    <n v="2026"/>
    <x v="9"/>
    <n v="21"/>
    <x v="5"/>
    <s v="weekday"/>
    <x v="10"/>
    <x v="3"/>
  </r>
  <r>
    <n v="902"/>
    <n v="8"/>
    <n v="11"/>
    <n v="3"/>
    <x v="840"/>
    <n v="1"/>
    <x v="7"/>
    <x v="1"/>
    <x v="0"/>
    <n v="8"/>
    <n v="2026"/>
    <x v="1"/>
    <n v="19"/>
    <x v="6"/>
    <s v="weekday"/>
    <x v="19"/>
    <x v="6"/>
  </r>
  <r>
    <n v="903"/>
    <n v="10"/>
    <n v="9"/>
    <n v="2"/>
    <x v="841"/>
    <n v="5"/>
    <x v="6"/>
    <x v="1"/>
    <x v="2"/>
    <n v="9"/>
    <n v="2026"/>
    <x v="5"/>
    <n v="15"/>
    <x v="2"/>
    <s v="Weekend"/>
    <x v="10"/>
    <x v="9"/>
  </r>
  <r>
    <n v="904"/>
    <n v="12"/>
    <n v="4"/>
    <n v="3"/>
    <x v="842"/>
    <n v="6"/>
    <x v="0"/>
    <x v="1"/>
    <x v="1"/>
    <n v="9"/>
    <n v="2026"/>
    <x v="3"/>
    <n v="21"/>
    <x v="5"/>
    <s v="weekday"/>
    <x v="15"/>
    <x v="6"/>
  </r>
  <r>
    <n v="905"/>
    <n v="18"/>
    <n v="16"/>
    <n v="3"/>
    <x v="843"/>
    <n v="2"/>
    <x v="12"/>
    <x v="1"/>
    <x v="1"/>
    <n v="8"/>
    <n v="2026"/>
    <x v="4"/>
    <n v="19"/>
    <x v="3"/>
    <s v="weekday"/>
    <x v="12"/>
    <x v="6"/>
  </r>
  <r>
    <n v="906"/>
    <n v="7"/>
    <n v="7"/>
    <n v="7"/>
    <x v="844"/>
    <n v="5"/>
    <x v="6"/>
    <x v="1"/>
    <x v="2"/>
    <n v="9"/>
    <n v="2026"/>
    <x v="1"/>
    <n v="22"/>
    <x v="5"/>
    <s v="weekday"/>
    <x v="3"/>
    <x v="4"/>
  </r>
  <r>
    <n v="907"/>
    <n v="17"/>
    <n v="14"/>
    <n v="2"/>
    <x v="845"/>
    <n v="4"/>
    <x v="2"/>
    <x v="0"/>
    <x v="0"/>
    <n v="9"/>
    <n v="2026"/>
    <x v="8"/>
    <n v="19"/>
    <x v="1"/>
    <s v="Weekend"/>
    <x v="2"/>
    <x v="9"/>
  </r>
  <r>
    <n v="908"/>
    <n v="14"/>
    <n v="4"/>
    <n v="8"/>
    <x v="846"/>
    <n v="5"/>
    <x v="6"/>
    <x v="1"/>
    <x v="0"/>
    <n v="9"/>
    <n v="2026"/>
    <x v="0"/>
    <n v="23"/>
    <x v="4"/>
    <s v="weekday"/>
    <x v="15"/>
    <x v="7"/>
  </r>
  <r>
    <n v="909"/>
    <n v="9"/>
    <n v="11"/>
    <n v="5"/>
    <x v="847"/>
    <n v="4"/>
    <x v="4"/>
    <x v="1"/>
    <x v="1"/>
    <n v="8"/>
    <n v="2026"/>
    <x v="10"/>
    <n v="20"/>
    <x v="5"/>
    <s v="weekday"/>
    <x v="19"/>
    <x v="8"/>
  </r>
  <r>
    <n v="910"/>
    <n v="7"/>
    <n v="20"/>
    <n v="4"/>
    <x v="848"/>
    <n v="5"/>
    <x v="16"/>
    <x v="0"/>
    <x v="2"/>
    <n v="10"/>
    <n v="2026"/>
    <x v="5"/>
    <n v="22"/>
    <x v="1"/>
    <s v="Weekend"/>
    <x v="4"/>
    <x v="1"/>
  </r>
  <r>
    <n v="911"/>
    <n v="8"/>
    <n v="8"/>
    <n v="7"/>
    <x v="849"/>
    <n v="5"/>
    <x v="11"/>
    <x v="1"/>
    <x v="1"/>
    <n v="8"/>
    <n v="2026"/>
    <x v="10"/>
    <n v="16"/>
    <x v="3"/>
    <s v="weekday"/>
    <x v="7"/>
    <x v="4"/>
  </r>
  <r>
    <n v="912"/>
    <n v="3"/>
    <n v="5"/>
    <n v="2"/>
    <x v="850"/>
    <n v="1"/>
    <x v="15"/>
    <x v="1"/>
    <x v="1"/>
    <n v="10"/>
    <n v="2026"/>
    <x v="4"/>
    <n v="23"/>
    <x v="1"/>
    <s v="Weekend"/>
    <x v="14"/>
    <x v="9"/>
  </r>
  <r>
    <n v="913"/>
    <n v="15"/>
    <n v="11"/>
    <n v="10"/>
    <x v="851"/>
    <n v="4"/>
    <x v="2"/>
    <x v="1"/>
    <x v="0"/>
    <n v="9"/>
    <n v="2026"/>
    <x v="11"/>
    <n v="17"/>
    <x v="1"/>
    <s v="Weekend"/>
    <x v="19"/>
    <x v="3"/>
  </r>
  <r>
    <n v="914"/>
    <n v="1"/>
    <n v="15"/>
    <n v="1"/>
    <x v="852"/>
    <n v="1"/>
    <x v="1"/>
    <x v="1"/>
    <x v="0"/>
    <n v="9"/>
    <n v="2026"/>
    <x v="3"/>
    <n v="20"/>
    <x v="1"/>
    <s v="Weekend"/>
    <x v="5"/>
    <x v="5"/>
  </r>
  <r>
    <n v="915"/>
    <n v="10"/>
    <n v="18"/>
    <n v="8"/>
    <x v="433"/>
    <n v="4"/>
    <x v="4"/>
    <x v="0"/>
    <x v="1"/>
    <n v="8"/>
    <n v="2026"/>
    <x v="2"/>
    <n v="17"/>
    <x v="4"/>
    <s v="weekday"/>
    <x v="9"/>
    <x v="7"/>
  </r>
  <r>
    <n v="916"/>
    <n v="2"/>
    <n v="11"/>
    <n v="4"/>
    <x v="853"/>
    <n v="4"/>
    <x v="2"/>
    <x v="1"/>
    <x v="0"/>
    <n v="9"/>
    <n v="2026"/>
    <x v="7"/>
    <n v="23"/>
    <x v="6"/>
    <s v="weekday"/>
    <x v="19"/>
    <x v="1"/>
  </r>
  <r>
    <n v="917"/>
    <n v="10"/>
    <n v="19"/>
    <n v="3"/>
    <x v="854"/>
    <n v="6"/>
    <x v="5"/>
    <x v="1"/>
    <x v="2"/>
    <n v="8"/>
    <n v="2026"/>
    <x v="3"/>
    <n v="14"/>
    <x v="4"/>
    <s v="weekday"/>
    <x v="18"/>
    <x v="6"/>
  </r>
  <r>
    <n v="918"/>
    <n v="14"/>
    <n v="12"/>
    <n v="5"/>
    <x v="855"/>
    <n v="6"/>
    <x v="0"/>
    <x v="1"/>
    <x v="0"/>
    <n v="9"/>
    <n v="2026"/>
    <x v="7"/>
    <n v="16"/>
    <x v="2"/>
    <s v="Weekend"/>
    <x v="17"/>
    <x v="8"/>
  </r>
  <r>
    <n v="919"/>
    <n v="11"/>
    <n v="16"/>
    <n v="6"/>
    <x v="856"/>
    <n v="3"/>
    <x v="8"/>
    <x v="1"/>
    <x v="2"/>
    <n v="8"/>
    <n v="2026"/>
    <x v="1"/>
    <n v="14"/>
    <x v="3"/>
    <s v="weekday"/>
    <x v="12"/>
    <x v="0"/>
  </r>
  <r>
    <n v="920"/>
    <n v="9"/>
    <n v="1"/>
    <n v="6"/>
    <x v="857"/>
    <n v="5"/>
    <x v="6"/>
    <x v="1"/>
    <x v="1"/>
    <n v="9"/>
    <n v="2026"/>
    <x v="4"/>
    <n v="14"/>
    <x v="1"/>
    <s v="Weekend"/>
    <x v="6"/>
    <x v="0"/>
  </r>
  <r>
    <n v="921"/>
    <n v="16"/>
    <n v="6"/>
    <n v="8"/>
    <x v="858"/>
    <n v="4"/>
    <x v="11"/>
    <x v="1"/>
    <x v="1"/>
    <n v="10"/>
    <n v="2026"/>
    <x v="3"/>
    <n v="23"/>
    <x v="1"/>
    <s v="Weekend"/>
    <x v="13"/>
    <x v="7"/>
  </r>
  <r>
    <n v="922"/>
    <n v="19"/>
    <n v="20"/>
    <n v="4"/>
    <x v="463"/>
    <n v="6"/>
    <x v="5"/>
    <x v="1"/>
    <x v="0"/>
    <n v="8"/>
    <n v="2026"/>
    <x v="9"/>
    <n v="16"/>
    <x v="3"/>
    <s v="weekday"/>
    <x v="4"/>
    <x v="1"/>
  </r>
  <r>
    <n v="923"/>
    <n v="13"/>
    <n v="6"/>
    <n v="10"/>
    <x v="859"/>
    <n v="3"/>
    <x v="9"/>
    <x v="1"/>
    <x v="0"/>
    <n v="9"/>
    <n v="2026"/>
    <x v="11"/>
    <n v="20"/>
    <x v="2"/>
    <s v="Weekend"/>
    <x v="13"/>
    <x v="3"/>
  </r>
  <r>
    <n v="924"/>
    <n v="9"/>
    <n v="16"/>
    <n v="10"/>
    <x v="528"/>
    <n v="1"/>
    <x v="7"/>
    <x v="1"/>
    <x v="2"/>
    <n v="8"/>
    <n v="2026"/>
    <x v="6"/>
    <n v="18"/>
    <x v="5"/>
    <s v="weekday"/>
    <x v="12"/>
    <x v="3"/>
  </r>
  <r>
    <n v="925"/>
    <n v="12"/>
    <n v="8"/>
    <n v="6"/>
    <x v="860"/>
    <n v="4"/>
    <x v="4"/>
    <x v="1"/>
    <x v="0"/>
    <n v="8"/>
    <n v="2026"/>
    <x v="3"/>
    <n v="16"/>
    <x v="0"/>
    <s v="weekday"/>
    <x v="7"/>
    <x v="0"/>
  </r>
  <r>
    <n v="926"/>
    <n v="3"/>
    <n v="15"/>
    <n v="3"/>
    <x v="861"/>
    <n v="3"/>
    <x v="9"/>
    <x v="1"/>
    <x v="2"/>
    <n v="9"/>
    <n v="2026"/>
    <x v="9"/>
    <n v="22"/>
    <x v="5"/>
    <s v="weekday"/>
    <x v="5"/>
    <x v="6"/>
  </r>
  <r>
    <n v="927"/>
    <n v="14"/>
    <n v="3"/>
    <n v="3"/>
    <x v="862"/>
    <n v="4"/>
    <x v="4"/>
    <x v="1"/>
    <x v="1"/>
    <n v="8"/>
    <n v="2026"/>
    <x v="4"/>
    <n v="16"/>
    <x v="5"/>
    <s v="weekday"/>
    <x v="0"/>
    <x v="6"/>
  </r>
  <r>
    <n v="928"/>
    <n v="18"/>
    <n v="20"/>
    <n v="2"/>
    <x v="863"/>
    <n v="2"/>
    <x v="3"/>
    <x v="1"/>
    <x v="1"/>
    <n v="9"/>
    <n v="2026"/>
    <x v="1"/>
    <n v="17"/>
    <x v="1"/>
    <s v="Weekend"/>
    <x v="4"/>
    <x v="9"/>
  </r>
  <r>
    <n v="929"/>
    <n v="9"/>
    <n v="14"/>
    <n v="8"/>
    <x v="864"/>
    <n v="4"/>
    <x v="4"/>
    <x v="1"/>
    <x v="0"/>
    <n v="8"/>
    <n v="2026"/>
    <x v="4"/>
    <n v="14"/>
    <x v="5"/>
    <s v="weekday"/>
    <x v="2"/>
    <x v="7"/>
  </r>
  <r>
    <n v="930"/>
    <n v="9"/>
    <n v="17"/>
    <n v="3"/>
    <x v="865"/>
    <n v="5"/>
    <x v="11"/>
    <x v="1"/>
    <x v="0"/>
    <n v="8"/>
    <n v="2026"/>
    <x v="7"/>
    <n v="18"/>
    <x v="0"/>
    <s v="weekday"/>
    <x v="16"/>
    <x v="6"/>
  </r>
  <r>
    <n v="931"/>
    <n v="20"/>
    <n v="10"/>
    <n v="1"/>
    <x v="866"/>
    <n v="1"/>
    <x v="1"/>
    <x v="1"/>
    <x v="2"/>
    <n v="9"/>
    <n v="2026"/>
    <x v="10"/>
    <n v="23"/>
    <x v="0"/>
    <s v="weekday"/>
    <x v="1"/>
    <x v="5"/>
  </r>
  <r>
    <n v="932"/>
    <n v="17"/>
    <n v="11"/>
    <n v="2"/>
    <x v="867"/>
    <n v="1"/>
    <x v="1"/>
    <x v="0"/>
    <x v="2"/>
    <n v="9"/>
    <n v="2026"/>
    <x v="5"/>
    <n v="23"/>
    <x v="6"/>
    <s v="weekday"/>
    <x v="19"/>
    <x v="9"/>
  </r>
  <r>
    <n v="933"/>
    <n v="16"/>
    <n v="15"/>
    <n v="7"/>
    <x v="868"/>
    <n v="4"/>
    <x v="4"/>
    <x v="1"/>
    <x v="0"/>
    <n v="8"/>
    <n v="2026"/>
    <x v="8"/>
    <n v="14"/>
    <x v="5"/>
    <s v="weekday"/>
    <x v="5"/>
    <x v="4"/>
  </r>
  <r>
    <n v="934"/>
    <n v="2"/>
    <n v="19"/>
    <n v="7"/>
    <x v="869"/>
    <n v="6"/>
    <x v="0"/>
    <x v="0"/>
    <x v="2"/>
    <n v="9"/>
    <n v="2026"/>
    <x v="1"/>
    <n v="20"/>
    <x v="1"/>
    <s v="Weekend"/>
    <x v="18"/>
    <x v="4"/>
  </r>
  <r>
    <n v="935"/>
    <n v="7"/>
    <n v="14"/>
    <n v="8"/>
    <x v="870"/>
    <n v="3"/>
    <x v="10"/>
    <x v="1"/>
    <x v="1"/>
    <n v="10"/>
    <n v="2026"/>
    <x v="2"/>
    <n v="22"/>
    <x v="1"/>
    <s v="Weekend"/>
    <x v="2"/>
    <x v="7"/>
  </r>
  <r>
    <n v="936"/>
    <n v="6"/>
    <n v="19"/>
    <n v="7"/>
    <x v="871"/>
    <n v="2"/>
    <x v="3"/>
    <x v="1"/>
    <x v="2"/>
    <n v="9"/>
    <n v="2026"/>
    <x v="0"/>
    <n v="19"/>
    <x v="2"/>
    <s v="Weekend"/>
    <x v="18"/>
    <x v="4"/>
  </r>
  <r>
    <n v="937"/>
    <n v="11"/>
    <n v="1"/>
    <n v="9"/>
    <x v="872"/>
    <n v="5"/>
    <x v="11"/>
    <x v="1"/>
    <x v="2"/>
    <n v="8"/>
    <n v="2026"/>
    <x v="0"/>
    <n v="18"/>
    <x v="0"/>
    <s v="weekday"/>
    <x v="6"/>
    <x v="2"/>
  </r>
  <r>
    <n v="938"/>
    <n v="9"/>
    <n v="7"/>
    <n v="7"/>
    <x v="873"/>
    <n v="3"/>
    <x v="8"/>
    <x v="1"/>
    <x v="2"/>
    <n v="8"/>
    <n v="2026"/>
    <x v="2"/>
    <n v="17"/>
    <x v="5"/>
    <s v="weekday"/>
    <x v="3"/>
    <x v="4"/>
  </r>
  <r>
    <n v="939"/>
    <n v="19"/>
    <n v="11"/>
    <n v="2"/>
    <x v="874"/>
    <n v="3"/>
    <x v="9"/>
    <x v="1"/>
    <x v="1"/>
    <n v="9"/>
    <n v="2026"/>
    <x v="8"/>
    <n v="17"/>
    <x v="1"/>
    <s v="Weekend"/>
    <x v="19"/>
    <x v="9"/>
  </r>
  <r>
    <n v="940"/>
    <n v="6"/>
    <n v="2"/>
    <n v="7"/>
    <x v="875"/>
    <n v="1"/>
    <x v="1"/>
    <x v="1"/>
    <x v="2"/>
    <n v="9"/>
    <n v="2026"/>
    <x v="10"/>
    <n v="22"/>
    <x v="4"/>
    <s v="weekday"/>
    <x v="8"/>
    <x v="4"/>
  </r>
  <r>
    <n v="941"/>
    <n v="1"/>
    <n v="3"/>
    <n v="6"/>
    <x v="876"/>
    <n v="4"/>
    <x v="2"/>
    <x v="1"/>
    <x v="1"/>
    <n v="9"/>
    <n v="2026"/>
    <x v="2"/>
    <n v="14"/>
    <x v="1"/>
    <s v="Weekend"/>
    <x v="0"/>
    <x v="0"/>
  </r>
  <r>
    <n v="942"/>
    <n v="6"/>
    <n v="8"/>
    <n v="2"/>
    <x v="877"/>
    <n v="2"/>
    <x v="12"/>
    <x v="0"/>
    <x v="2"/>
    <n v="8"/>
    <n v="2026"/>
    <x v="8"/>
    <n v="17"/>
    <x v="0"/>
    <s v="weekday"/>
    <x v="7"/>
    <x v="9"/>
  </r>
  <r>
    <n v="943"/>
    <n v="20"/>
    <n v="2"/>
    <n v="9"/>
    <x v="878"/>
    <n v="3"/>
    <x v="8"/>
    <x v="1"/>
    <x v="2"/>
    <n v="8"/>
    <n v="2026"/>
    <x v="3"/>
    <n v="18"/>
    <x v="4"/>
    <s v="weekday"/>
    <x v="8"/>
    <x v="2"/>
  </r>
  <r>
    <n v="944"/>
    <n v="11"/>
    <n v="13"/>
    <n v="4"/>
    <x v="879"/>
    <n v="6"/>
    <x v="0"/>
    <x v="1"/>
    <x v="2"/>
    <n v="9"/>
    <n v="2026"/>
    <x v="10"/>
    <n v="22"/>
    <x v="6"/>
    <s v="weekday"/>
    <x v="11"/>
    <x v="1"/>
  </r>
  <r>
    <n v="945"/>
    <n v="15"/>
    <n v="17"/>
    <n v="4"/>
    <x v="880"/>
    <n v="3"/>
    <x v="8"/>
    <x v="1"/>
    <x v="1"/>
    <n v="8"/>
    <n v="2026"/>
    <x v="10"/>
    <n v="19"/>
    <x v="6"/>
    <s v="weekday"/>
    <x v="16"/>
    <x v="1"/>
  </r>
  <r>
    <n v="946"/>
    <n v="4"/>
    <n v="10"/>
    <n v="9"/>
    <x v="881"/>
    <n v="4"/>
    <x v="2"/>
    <x v="1"/>
    <x v="2"/>
    <n v="9"/>
    <n v="2026"/>
    <x v="10"/>
    <n v="19"/>
    <x v="2"/>
    <s v="Weekend"/>
    <x v="1"/>
    <x v="2"/>
  </r>
  <r>
    <n v="947"/>
    <n v="5"/>
    <n v="13"/>
    <n v="3"/>
    <x v="882"/>
    <n v="6"/>
    <x v="5"/>
    <x v="1"/>
    <x v="1"/>
    <n v="8"/>
    <n v="2026"/>
    <x v="4"/>
    <n v="20"/>
    <x v="6"/>
    <s v="weekday"/>
    <x v="11"/>
    <x v="6"/>
  </r>
  <r>
    <n v="948"/>
    <n v="16"/>
    <n v="14"/>
    <n v="9"/>
    <x v="883"/>
    <n v="3"/>
    <x v="9"/>
    <x v="1"/>
    <x v="2"/>
    <n v="9"/>
    <n v="2026"/>
    <x v="8"/>
    <n v="23"/>
    <x v="5"/>
    <s v="weekday"/>
    <x v="2"/>
    <x v="2"/>
  </r>
  <r>
    <n v="949"/>
    <n v="13"/>
    <n v="9"/>
    <n v="10"/>
    <x v="884"/>
    <n v="2"/>
    <x v="3"/>
    <x v="1"/>
    <x v="0"/>
    <n v="9"/>
    <n v="2026"/>
    <x v="0"/>
    <n v="20"/>
    <x v="2"/>
    <s v="Weekend"/>
    <x v="10"/>
    <x v="3"/>
  </r>
  <r>
    <n v="950"/>
    <n v="17"/>
    <n v="1"/>
    <n v="7"/>
    <x v="885"/>
    <n v="2"/>
    <x v="13"/>
    <x v="1"/>
    <x v="2"/>
    <n v="10"/>
    <n v="2026"/>
    <x v="9"/>
    <n v="22"/>
    <x v="2"/>
    <s v="Weekend"/>
    <x v="6"/>
    <x v="4"/>
  </r>
  <r>
    <n v="951"/>
    <n v="14"/>
    <n v="19"/>
    <n v="7"/>
    <x v="886"/>
    <n v="2"/>
    <x v="12"/>
    <x v="1"/>
    <x v="1"/>
    <n v="8"/>
    <n v="2026"/>
    <x v="2"/>
    <n v="15"/>
    <x v="4"/>
    <s v="weekday"/>
    <x v="18"/>
    <x v="4"/>
  </r>
  <r>
    <n v="952"/>
    <n v="4"/>
    <n v="15"/>
    <n v="4"/>
    <x v="887"/>
    <n v="1"/>
    <x v="1"/>
    <x v="1"/>
    <x v="2"/>
    <n v="9"/>
    <n v="2026"/>
    <x v="3"/>
    <n v="18"/>
    <x v="2"/>
    <s v="Weekend"/>
    <x v="5"/>
    <x v="1"/>
  </r>
  <r>
    <n v="953"/>
    <n v="1"/>
    <n v="8"/>
    <n v="1"/>
    <x v="888"/>
    <n v="3"/>
    <x v="8"/>
    <x v="1"/>
    <x v="2"/>
    <n v="8"/>
    <n v="2026"/>
    <x v="6"/>
    <n v="14"/>
    <x v="4"/>
    <s v="weekday"/>
    <x v="7"/>
    <x v="5"/>
  </r>
  <r>
    <n v="954"/>
    <n v="9"/>
    <n v="15"/>
    <n v="4"/>
    <x v="889"/>
    <n v="4"/>
    <x v="2"/>
    <x v="1"/>
    <x v="2"/>
    <n v="9"/>
    <n v="2026"/>
    <x v="1"/>
    <n v="14"/>
    <x v="1"/>
    <s v="Weekend"/>
    <x v="5"/>
    <x v="1"/>
  </r>
  <r>
    <n v="955"/>
    <n v="4"/>
    <n v="1"/>
    <n v="10"/>
    <x v="890"/>
    <n v="4"/>
    <x v="2"/>
    <x v="1"/>
    <x v="0"/>
    <n v="9"/>
    <n v="2026"/>
    <x v="2"/>
    <n v="23"/>
    <x v="5"/>
    <s v="weekday"/>
    <x v="6"/>
    <x v="3"/>
  </r>
  <r>
    <n v="956"/>
    <n v="4"/>
    <n v="8"/>
    <n v="9"/>
    <x v="891"/>
    <n v="3"/>
    <x v="8"/>
    <x v="1"/>
    <x v="0"/>
    <n v="8"/>
    <n v="2026"/>
    <x v="3"/>
    <n v="15"/>
    <x v="3"/>
    <s v="weekday"/>
    <x v="7"/>
    <x v="2"/>
  </r>
  <r>
    <n v="957"/>
    <n v="5"/>
    <n v="1"/>
    <n v="5"/>
    <x v="892"/>
    <n v="1"/>
    <x v="1"/>
    <x v="1"/>
    <x v="1"/>
    <n v="9"/>
    <n v="2026"/>
    <x v="4"/>
    <n v="23"/>
    <x v="4"/>
    <s v="weekday"/>
    <x v="6"/>
    <x v="8"/>
  </r>
  <r>
    <n v="958"/>
    <n v="6"/>
    <n v="12"/>
    <n v="1"/>
    <x v="893"/>
    <n v="4"/>
    <x v="4"/>
    <x v="1"/>
    <x v="2"/>
    <n v="8"/>
    <n v="2026"/>
    <x v="9"/>
    <n v="18"/>
    <x v="3"/>
    <s v="weekday"/>
    <x v="17"/>
    <x v="5"/>
  </r>
  <r>
    <n v="959"/>
    <n v="3"/>
    <n v="3"/>
    <n v="5"/>
    <x v="894"/>
    <n v="3"/>
    <x v="9"/>
    <x v="1"/>
    <x v="1"/>
    <n v="9"/>
    <n v="2026"/>
    <x v="7"/>
    <n v="20"/>
    <x v="1"/>
    <s v="Weekend"/>
    <x v="0"/>
    <x v="8"/>
  </r>
  <r>
    <n v="960"/>
    <n v="17"/>
    <n v="13"/>
    <n v="7"/>
    <x v="895"/>
    <n v="4"/>
    <x v="4"/>
    <x v="0"/>
    <x v="0"/>
    <n v="8"/>
    <n v="2026"/>
    <x v="7"/>
    <n v="20"/>
    <x v="6"/>
    <s v="weekday"/>
    <x v="11"/>
    <x v="4"/>
  </r>
  <r>
    <n v="961"/>
    <n v="19"/>
    <n v="4"/>
    <n v="1"/>
    <x v="896"/>
    <n v="5"/>
    <x v="11"/>
    <x v="1"/>
    <x v="0"/>
    <n v="8"/>
    <n v="2026"/>
    <x v="1"/>
    <n v="20"/>
    <x v="4"/>
    <s v="weekday"/>
    <x v="15"/>
    <x v="5"/>
  </r>
  <r>
    <n v="962"/>
    <n v="3"/>
    <n v="18"/>
    <n v="7"/>
    <x v="897"/>
    <n v="2"/>
    <x v="12"/>
    <x v="1"/>
    <x v="0"/>
    <n v="8"/>
    <n v="2026"/>
    <x v="1"/>
    <n v="15"/>
    <x v="0"/>
    <s v="weekday"/>
    <x v="9"/>
    <x v="4"/>
  </r>
  <r>
    <n v="963"/>
    <n v="4"/>
    <n v="14"/>
    <n v="4"/>
    <x v="898"/>
    <n v="2"/>
    <x v="3"/>
    <x v="1"/>
    <x v="0"/>
    <n v="9"/>
    <n v="2026"/>
    <x v="1"/>
    <n v="22"/>
    <x v="3"/>
    <s v="weekday"/>
    <x v="2"/>
    <x v="1"/>
  </r>
  <r>
    <n v="964"/>
    <n v="20"/>
    <n v="12"/>
    <n v="6"/>
    <x v="899"/>
    <n v="3"/>
    <x v="9"/>
    <x v="1"/>
    <x v="0"/>
    <n v="9"/>
    <n v="2026"/>
    <x v="10"/>
    <n v="16"/>
    <x v="2"/>
    <s v="Weekend"/>
    <x v="17"/>
    <x v="0"/>
  </r>
  <r>
    <n v="965"/>
    <n v="19"/>
    <n v="2"/>
    <n v="4"/>
    <x v="900"/>
    <n v="6"/>
    <x v="5"/>
    <x v="1"/>
    <x v="2"/>
    <n v="8"/>
    <n v="2026"/>
    <x v="3"/>
    <n v="19"/>
    <x v="0"/>
    <s v="weekday"/>
    <x v="8"/>
    <x v="1"/>
  </r>
  <r>
    <n v="966"/>
    <n v="4"/>
    <n v="13"/>
    <n v="1"/>
    <x v="901"/>
    <n v="4"/>
    <x v="4"/>
    <x v="1"/>
    <x v="1"/>
    <n v="8"/>
    <n v="2026"/>
    <x v="8"/>
    <n v="18"/>
    <x v="6"/>
    <s v="weekday"/>
    <x v="11"/>
    <x v="5"/>
  </r>
  <r>
    <n v="967"/>
    <n v="13"/>
    <n v="9"/>
    <n v="7"/>
    <x v="902"/>
    <n v="1"/>
    <x v="7"/>
    <x v="1"/>
    <x v="1"/>
    <n v="8"/>
    <n v="2026"/>
    <x v="0"/>
    <n v="15"/>
    <x v="3"/>
    <s v="weekday"/>
    <x v="10"/>
    <x v="4"/>
  </r>
  <r>
    <n v="968"/>
    <n v="8"/>
    <n v="20"/>
    <n v="6"/>
    <x v="903"/>
    <n v="1"/>
    <x v="1"/>
    <x v="1"/>
    <x v="0"/>
    <n v="9"/>
    <n v="2026"/>
    <x v="1"/>
    <n v="19"/>
    <x v="1"/>
    <s v="Weekend"/>
    <x v="4"/>
    <x v="0"/>
  </r>
  <r>
    <n v="969"/>
    <n v="16"/>
    <n v="6"/>
    <n v="7"/>
    <x v="904"/>
    <n v="2"/>
    <x v="13"/>
    <x v="0"/>
    <x v="0"/>
    <n v="10"/>
    <n v="2026"/>
    <x v="11"/>
    <n v="21"/>
    <x v="1"/>
    <s v="Weekend"/>
    <x v="13"/>
    <x v="4"/>
  </r>
  <r>
    <n v="970"/>
    <n v="19"/>
    <n v="16"/>
    <n v="10"/>
    <x v="905"/>
    <n v="4"/>
    <x v="2"/>
    <x v="0"/>
    <x v="1"/>
    <n v="9"/>
    <n v="2026"/>
    <x v="5"/>
    <n v="22"/>
    <x v="3"/>
    <s v="weekday"/>
    <x v="12"/>
    <x v="3"/>
  </r>
  <r>
    <n v="971"/>
    <n v="6"/>
    <n v="19"/>
    <n v="3"/>
    <x v="626"/>
    <n v="1"/>
    <x v="7"/>
    <x v="1"/>
    <x v="1"/>
    <n v="8"/>
    <n v="2026"/>
    <x v="2"/>
    <n v="17"/>
    <x v="6"/>
    <s v="weekday"/>
    <x v="18"/>
    <x v="6"/>
  </r>
  <r>
    <n v="972"/>
    <n v="17"/>
    <n v="13"/>
    <n v="7"/>
    <x v="906"/>
    <n v="5"/>
    <x v="11"/>
    <x v="1"/>
    <x v="1"/>
    <n v="8"/>
    <n v="2026"/>
    <x v="6"/>
    <n v="17"/>
    <x v="6"/>
    <s v="weekday"/>
    <x v="11"/>
    <x v="4"/>
  </r>
  <r>
    <n v="973"/>
    <n v="10"/>
    <n v="15"/>
    <n v="8"/>
    <x v="907"/>
    <n v="6"/>
    <x v="5"/>
    <x v="1"/>
    <x v="0"/>
    <n v="8"/>
    <n v="2026"/>
    <x v="3"/>
    <n v="19"/>
    <x v="5"/>
    <s v="weekday"/>
    <x v="5"/>
    <x v="7"/>
  </r>
  <r>
    <n v="974"/>
    <n v="3"/>
    <n v="16"/>
    <n v="1"/>
    <x v="908"/>
    <n v="3"/>
    <x v="9"/>
    <x v="1"/>
    <x v="2"/>
    <n v="9"/>
    <n v="2026"/>
    <x v="1"/>
    <n v="15"/>
    <x v="1"/>
    <s v="Weekend"/>
    <x v="12"/>
    <x v="5"/>
  </r>
  <r>
    <n v="975"/>
    <n v="4"/>
    <n v="16"/>
    <n v="8"/>
    <x v="638"/>
    <n v="6"/>
    <x v="5"/>
    <x v="1"/>
    <x v="0"/>
    <n v="8"/>
    <n v="2026"/>
    <x v="1"/>
    <n v="20"/>
    <x v="0"/>
    <s v="weekday"/>
    <x v="12"/>
    <x v="7"/>
  </r>
  <r>
    <n v="976"/>
    <n v="8"/>
    <n v="10"/>
    <n v="1"/>
    <x v="441"/>
    <n v="1"/>
    <x v="7"/>
    <x v="1"/>
    <x v="0"/>
    <n v="8"/>
    <n v="2026"/>
    <x v="1"/>
    <n v="15"/>
    <x v="5"/>
    <s v="weekday"/>
    <x v="1"/>
    <x v="5"/>
  </r>
  <r>
    <n v="977"/>
    <n v="4"/>
    <n v="7"/>
    <n v="8"/>
    <x v="909"/>
    <n v="4"/>
    <x v="4"/>
    <x v="1"/>
    <x v="0"/>
    <n v="8"/>
    <n v="2026"/>
    <x v="0"/>
    <n v="18"/>
    <x v="5"/>
    <s v="weekday"/>
    <x v="3"/>
    <x v="7"/>
  </r>
  <r>
    <n v="978"/>
    <n v="1"/>
    <n v="12"/>
    <n v="2"/>
    <x v="910"/>
    <n v="3"/>
    <x v="8"/>
    <x v="1"/>
    <x v="2"/>
    <n v="8"/>
    <n v="2026"/>
    <x v="11"/>
    <n v="17"/>
    <x v="0"/>
    <s v="weekday"/>
    <x v="17"/>
    <x v="9"/>
  </r>
  <r>
    <n v="979"/>
    <n v="12"/>
    <n v="6"/>
    <n v="10"/>
    <x v="911"/>
    <n v="6"/>
    <x v="5"/>
    <x v="1"/>
    <x v="0"/>
    <n v="8"/>
    <n v="2026"/>
    <x v="4"/>
    <n v="18"/>
    <x v="4"/>
    <s v="weekday"/>
    <x v="13"/>
    <x v="3"/>
  </r>
  <r>
    <n v="980"/>
    <n v="7"/>
    <n v="2"/>
    <n v="6"/>
    <x v="912"/>
    <n v="5"/>
    <x v="11"/>
    <x v="1"/>
    <x v="0"/>
    <n v="8"/>
    <n v="2026"/>
    <x v="3"/>
    <n v="17"/>
    <x v="3"/>
    <s v="weekday"/>
    <x v="8"/>
    <x v="0"/>
  </r>
  <r>
    <n v="981"/>
    <n v="13"/>
    <n v="9"/>
    <n v="8"/>
    <x v="913"/>
    <n v="4"/>
    <x v="4"/>
    <x v="1"/>
    <x v="1"/>
    <n v="8"/>
    <n v="2026"/>
    <x v="4"/>
    <n v="15"/>
    <x v="4"/>
    <s v="weekday"/>
    <x v="10"/>
    <x v="7"/>
  </r>
  <r>
    <n v="982"/>
    <n v="14"/>
    <n v="3"/>
    <n v="2"/>
    <x v="914"/>
    <n v="3"/>
    <x v="10"/>
    <x v="1"/>
    <x v="2"/>
    <n v="10"/>
    <n v="2026"/>
    <x v="10"/>
    <n v="22"/>
    <x v="1"/>
    <s v="Weekend"/>
    <x v="0"/>
    <x v="9"/>
  </r>
  <r>
    <n v="983"/>
    <n v="3"/>
    <n v="17"/>
    <n v="6"/>
    <x v="915"/>
    <n v="5"/>
    <x v="11"/>
    <x v="1"/>
    <x v="2"/>
    <n v="8"/>
    <n v="2026"/>
    <x v="11"/>
    <n v="14"/>
    <x v="5"/>
    <s v="weekday"/>
    <x v="16"/>
    <x v="0"/>
  </r>
  <r>
    <n v="984"/>
    <n v="17"/>
    <n v="8"/>
    <n v="10"/>
    <x v="916"/>
    <n v="2"/>
    <x v="3"/>
    <x v="1"/>
    <x v="0"/>
    <n v="9"/>
    <n v="2026"/>
    <x v="3"/>
    <n v="15"/>
    <x v="1"/>
    <s v="Weekend"/>
    <x v="7"/>
    <x v="3"/>
  </r>
  <r>
    <n v="985"/>
    <n v="7"/>
    <n v="11"/>
    <n v="6"/>
    <x v="917"/>
    <n v="5"/>
    <x v="11"/>
    <x v="1"/>
    <x v="2"/>
    <n v="8"/>
    <n v="2026"/>
    <x v="5"/>
    <n v="19"/>
    <x v="5"/>
    <s v="weekday"/>
    <x v="19"/>
    <x v="0"/>
  </r>
  <r>
    <n v="986"/>
    <n v="19"/>
    <n v="2"/>
    <n v="4"/>
    <x v="918"/>
    <n v="5"/>
    <x v="6"/>
    <x v="1"/>
    <x v="1"/>
    <n v="9"/>
    <n v="2026"/>
    <x v="0"/>
    <n v="18"/>
    <x v="1"/>
    <s v="Weekend"/>
    <x v="8"/>
    <x v="1"/>
  </r>
  <r>
    <n v="987"/>
    <n v="10"/>
    <n v="5"/>
    <n v="5"/>
    <x v="919"/>
    <n v="3"/>
    <x v="8"/>
    <x v="0"/>
    <x v="2"/>
    <n v="8"/>
    <n v="2026"/>
    <x v="11"/>
    <n v="14"/>
    <x v="0"/>
    <s v="weekday"/>
    <x v="14"/>
    <x v="8"/>
  </r>
  <r>
    <n v="988"/>
    <n v="10"/>
    <n v="8"/>
    <n v="3"/>
    <x v="920"/>
    <n v="4"/>
    <x v="2"/>
    <x v="1"/>
    <x v="1"/>
    <n v="9"/>
    <n v="2026"/>
    <x v="6"/>
    <n v="22"/>
    <x v="0"/>
    <s v="weekday"/>
    <x v="7"/>
    <x v="6"/>
  </r>
  <r>
    <n v="989"/>
    <n v="13"/>
    <n v="4"/>
    <n v="8"/>
    <x v="921"/>
    <n v="3"/>
    <x v="8"/>
    <x v="1"/>
    <x v="1"/>
    <n v="8"/>
    <n v="2026"/>
    <x v="7"/>
    <n v="14"/>
    <x v="4"/>
    <s v="weekday"/>
    <x v="15"/>
    <x v="7"/>
  </r>
  <r>
    <n v="990"/>
    <n v="9"/>
    <n v="3"/>
    <n v="8"/>
    <x v="922"/>
    <n v="5"/>
    <x v="11"/>
    <x v="1"/>
    <x v="0"/>
    <n v="8"/>
    <n v="2026"/>
    <x v="9"/>
    <n v="14"/>
    <x v="4"/>
    <s v="weekday"/>
    <x v="0"/>
    <x v="7"/>
  </r>
  <r>
    <n v="991"/>
    <n v="10"/>
    <n v="18"/>
    <n v="8"/>
    <x v="923"/>
    <n v="4"/>
    <x v="4"/>
    <x v="0"/>
    <x v="1"/>
    <n v="8"/>
    <n v="2026"/>
    <x v="6"/>
    <n v="20"/>
    <x v="4"/>
    <s v="weekday"/>
    <x v="9"/>
    <x v="7"/>
  </r>
  <r>
    <n v="992"/>
    <n v="2"/>
    <n v="13"/>
    <n v="4"/>
    <x v="924"/>
    <n v="4"/>
    <x v="4"/>
    <x v="1"/>
    <x v="0"/>
    <n v="8"/>
    <n v="2026"/>
    <x v="1"/>
    <n v="20"/>
    <x v="5"/>
    <s v="weekday"/>
    <x v="11"/>
    <x v="1"/>
  </r>
  <r>
    <n v="993"/>
    <n v="11"/>
    <n v="20"/>
    <n v="7"/>
    <x v="925"/>
    <n v="6"/>
    <x v="0"/>
    <x v="1"/>
    <x v="1"/>
    <n v="9"/>
    <n v="2026"/>
    <x v="10"/>
    <n v="21"/>
    <x v="4"/>
    <s v="weekday"/>
    <x v="4"/>
    <x v="4"/>
  </r>
  <r>
    <n v="994"/>
    <n v="16"/>
    <n v="12"/>
    <n v="1"/>
    <x v="926"/>
    <n v="6"/>
    <x v="0"/>
    <x v="1"/>
    <x v="0"/>
    <n v="9"/>
    <n v="2026"/>
    <x v="6"/>
    <n v="21"/>
    <x v="4"/>
    <s v="weekday"/>
    <x v="17"/>
    <x v="5"/>
  </r>
  <r>
    <n v="995"/>
    <n v="2"/>
    <n v="14"/>
    <n v="3"/>
    <x v="927"/>
    <n v="5"/>
    <x v="11"/>
    <x v="1"/>
    <x v="1"/>
    <n v="8"/>
    <n v="2026"/>
    <x v="4"/>
    <n v="20"/>
    <x v="3"/>
    <s v="weekday"/>
    <x v="2"/>
    <x v="6"/>
  </r>
  <r>
    <n v="996"/>
    <n v="2"/>
    <n v="4"/>
    <n v="1"/>
    <x v="66"/>
    <n v="4"/>
    <x v="2"/>
    <x v="1"/>
    <x v="1"/>
    <n v="9"/>
    <n v="2026"/>
    <x v="5"/>
    <n v="22"/>
    <x v="5"/>
    <s v="weekday"/>
    <x v="15"/>
    <x v="5"/>
  </r>
  <r>
    <n v="997"/>
    <n v="4"/>
    <n v="5"/>
    <n v="8"/>
    <x v="928"/>
    <n v="2"/>
    <x v="12"/>
    <x v="1"/>
    <x v="0"/>
    <n v="8"/>
    <n v="2026"/>
    <x v="0"/>
    <n v="16"/>
    <x v="4"/>
    <s v="weekday"/>
    <x v="14"/>
    <x v="7"/>
  </r>
  <r>
    <n v="998"/>
    <n v="9"/>
    <n v="9"/>
    <n v="1"/>
    <x v="929"/>
    <n v="3"/>
    <x v="9"/>
    <x v="1"/>
    <x v="2"/>
    <n v="9"/>
    <n v="2026"/>
    <x v="1"/>
    <n v="15"/>
    <x v="1"/>
    <s v="Weekend"/>
    <x v="10"/>
    <x v="5"/>
  </r>
  <r>
    <n v="999"/>
    <n v="12"/>
    <n v="2"/>
    <n v="1"/>
    <x v="930"/>
    <n v="6"/>
    <x v="5"/>
    <x v="1"/>
    <x v="0"/>
    <n v="8"/>
    <n v="2026"/>
    <x v="8"/>
    <n v="15"/>
    <x v="6"/>
    <s v="weekday"/>
    <x v="8"/>
    <x v="5"/>
  </r>
  <r>
    <n v="1000"/>
    <n v="16"/>
    <n v="16"/>
    <n v="6"/>
    <x v="931"/>
    <n v="2"/>
    <x v="12"/>
    <x v="1"/>
    <x v="0"/>
    <n v="8"/>
    <n v="2026"/>
    <x v="8"/>
    <n v="15"/>
    <x v="3"/>
    <s v="weekday"/>
    <x v="12"/>
    <x v="0"/>
  </r>
  <r>
    <n v="1001"/>
    <n v="11"/>
    <n v="8"/>
    <n v="2"/>
    <x v="932"/>
    <n v="6"/>
    <x v="0"/>
    <x v="1"/>
    <x v="0"/>
    <n v="9"/>
    <n v="2026"/>
    <x v="9"/>
    <n v="21"/>
    <x v="6"/>
    <s v="weekday"/>
    <x v="7"/>
    <x v="9"/>
  </r>
  <r>
    <n v="1002"/>
    <n v="16"/>
    <n v="3"/>
    <n v="6"/>
    <x v="933"/>
    <n v="5"/>
    <x v="6"/>
    <x v="1"/>
    <x v="0"/>
    <n v="9"/>
    <n v="2026"/>
    <x v="0"/>
    <n v="14"/>
    <x v="2"/>
    <s v="Weekend"/>
    <x v="0"/>
    <x v="0"/>
  </r>
  <r>
    <n v="1003"/>
    <n v="6"/>
    <n v="7"/>
    <n v="5"/>
    <x v="934"/>
    <n v="4"/>
    <x v="4"/>
    <x v="1"/>
    <x v="2"/>
    <n v="8"/>
    <n v="2026"/>
    <x v="11"/>
    <n v="18"/>
    <x v="3"/>
    <s v="weekday"/>
    <x v="3"/>
    <x v="8"/>
  </r>
  <r>
    <n v="1004"/>
    <n v="8"/>
    <n v="17"/>
    <n v="2"/>
    <x v="935"/>
    <n v="6"/>
    <x v="5"/>
    <x v="1"/>
    <x v="0"/>
    <n v="8"/>
    <n v="2026"/>
    <x v="3"/>
    <n v="16"/>
    <x v="6"/>
    <s v="weekday"/>
    <x v="16"/>
    <x v="9"/>
  </r>
  <r>
    <n v="1005"/>
    <n v="18"/>
    <n v="12"/>
    <n v="9"/>
    <x v="936"/>
    <n v="3"/>
    <x v="8"/>
    <x v="1"/>
    <x v="2"/>
    <n v="8"/>
    <n v="2026"/>
    <x v="6"/>
    <n v="15"/>
    <x v="0"/>
    <s v="weekday"/>
    <x v="17"/>
    <x v="2"/>
  </r>
  <r>
    <n v="1006"/>
    <n v="2"/>
    <n v="19"/>
    <n v="6"/>
    <x v="937"/>
    <n v="1"/>
    <x v="7"/>
    <x v="1"/>
    <x v="2"/>
    <n v="8"/>
    <n v="2026"/>
    <x v="1"/>
    <n v="15"/>
    <x v="6"/>
    <s v="weekday"/>
    <x v="18"/>
    <x v="0"/>
  </r>
  <r>
    <n v="1007"/>
    <n v="10"/>
    <n v="2"/>
    <n v="1"/>
    <x v="870"/>
    <n v="6"/>
    <x v="14"/>
    <x v="0"/>
    <x v="2"/>
    <n v="10"/>
    <n v="2026"/>
    <x v="2"/>
    <n v="22"/>
    <x v="1"/>
    <s v="Weekend"/>
    <x v="8"/>
    <x v="5"/>
  </r>
  <r>
    <n v="1008"/>
    <n v="20"/>
    <n v="18"/>
    <n v="9"/>
    <x v="513"/>
    <n v="6"/>
    <x v="0"/>
    <x v="1"/>
    <x v="0"/>
    <n v="9"/>
    <n v="2026"/>
    <x v="11"/>
    <n v="23"/>
    <x v="0"/>
    <s v="weekday"/>
    <x v="9"/>
    <x v="2"/>
  </r>
  <r>
    <n v="1009"/>
    <n v="14"/>
    <n v="18"/>
    <n v="1"/>
    <x v="938"/>
    <n v="4"/>
    <x v="2"/>
    <x v="1"/>
    <x v="1"/>
    <n v="9"/>
    <n v="2026"/>
    <x v="3"/>
    <n v="19"/>
    <x v="1"/>
    <s v="Weekend"/>
    <x v="9"/>
    <x v="5"/>
  </r>
  <r>
    <n v="1010"/>
    <n v="6"/>
    <n v="17"/>
    <n v="6"/>
    <x v="939"/>
    <n v="2"/>
    <x v="12"/>
    <x v="1"/>
    <x v="2"/>
    <n v="8"/>
    <n v="2026"/>
    <x v="0"/>
    <n v="20"/>
    <x v="3"/>
    <s v="weekday"/>
    <x v="16"/>
    <x v="0"/>
  </r>
  <r>
    <n v="1011"/>
    <n v="10"/>
    <n v="12"/>
    <n v="2"/>
    <x v="940"/>
    <n v="5"/>
    <x v="11"/>
    <x v="1"/>
    <x v="0"/>
    <n v="8"/>
    <n v="2026"/>
    <x v="0"/>
    <n v="16"/>
    <x v="0"/>
    <s v="weekday"/>
    <x v="17"/>
    <x v="9"/>
  </r>
  <r>
    <n v="1012"/>
    <n v="17"/>
    <n v="12"/>
    <n v="10"/>
    <x v="941"/>
    <n v="6"/>
    <x v="5"/>
    <x v="1"/>
    <x v="0"/>
    <n v="8"/>
    <n v="2026"/>
    <x v="4"/>
    <n v="16"/>
    <x v="6"/>
    <s v="weekday"/>
    <x v="1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806AF8-093E-48E9-A5C0-ABA10831EABF}" name="PivotTable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showAll="0"/>
    <pivotField showAll="0"/>
    <pivotField showAll="0"/>
    <pivotField numFmtId="164" showAll="0">
      <items count="943">
        <item x="775"/>
        <item x="784"/>
        <item x="60"/>
        <item x="889"/>
        <item x="341"/>
        <item x="908"/>
        <item x="54"/>
        <item x="159"/>
        <item x="461"/>
        <item x="259"/>
        <item x="802"/>
        <item x="394"/>
        <item x="344"/>
        <item x="438"/>
        <item x="924"/>
        <item x="718"/>
        <item x="609"/>
        <item x="332"/>
        <item x="827"/>
        <item x="434"/>
        <item x="500"/>
        <item x="173"/>
        <item x="577"/>
        <item x="380"/>
        <item x="898"/>
        <item x="26"/>
        <item x="418"/>
        <item x="794"/>
        <item x="896"/>
        <item x="403"/>
        <item x="200"/>
        <item x="646"/>
        <item x="587"/>
        <item x="67"/>
        <item x="929"/>
        <item x="657"/>
        <item x="186"/>
        <item x="534"/>
        <item x="869"/>
        <item x="146"/>
        <item x="31"/>
        <item x="778"/>
        <item x="856"/>
        <item x="445"/>
        <item x="258"/>
        <item x="607"/>
        <item x="256"/>
        <item x="255"/>
        <item x="502"/>
        <item x="36"/>
        <item x="512"/>
        <item x="441"/>
        <item x="580"/>
        <item x="844"/>
        <item x="937"/>
        <item x="751"/>
        <item x="415"/>
        <item x="700"/>
        <item x="863"/>
        <item x="773"/>
        <item x="150"/>
        <item x="116"/>
        <item x="297"/>
        <item x="533"/>
        <item x="897"/>
        <item x="638"/>
        <item x="398"/>
        <item x="52"/>
        <item x="761"/>
        <item x="530"/>
        <item x="602"/>
        <item x="134"/>
        <item x="840"/>
        <item x="1"/>
        <item x="903"/>
        <item x="95"/>
        <item x="550"/>
        <item x="304"/>
        <item x="564"/>
        <item x="97"/>
        <item x="891"/>
        <item x="164"/>
        <item x="13"/>
        <item x="109"/>
        <item x="640"/>
        <item x="878"/>
        <item x="581"/>
        <item x="343"/>
        <item x="728"/>
        <item x="786"/>
        <item x="900"/>
        <item x="114"/>
        <item x="357"/>
        <item x="935"/>
        <item x="53"/>
        <item x="63"/>
        <item x="275"/>
        <item x="386"/>
        <item x="858"/>
        <item x="209"/>
        <item x="3"/>
        <item x="887"/>
        <item x="39"/>
        <item x="330"/>
        <item x="460"/>
        <item x="331"/>
        <item x="24"/>
        <item x="912"/>
        <item x="208"/>
        <item x="854"/>
        <item x="288"/>
        <item x="648"/>
        <item x="12"/>
        <item x="89"/>
        <item x="201"/>
        <item x="523"/>
        <item x="555"/>
        <item x="508"/>
        <item x="325"/>
        <item x="174"/>
        <item x="298"/>
        <item x="610"/>
        <item x="938"/>
        <item x="852"/>
        <item x="569"/>
        <item x="738"/>
        <item x="197"/>
        <item x="283"/>
        <item x="561"/>
        <item x="138"/>
        <item x="149"/>
        <item x="725"/>
        <item x="812"/>
        <item x="105"/>
        <item x="860"/>
        <item x="424"/>
        <item x="315"/>
        <item x="382"/>
        <item x="916"/>
        <item x="333"/>
        <item x="527"/>
        <item x="196"/>
        <item x="287"/>
        <item x="808"/>
        <item x="301"/>
        <item x="576"/>
        <item x="729"/>
        <item x="145"/>
        <item x="694"/>
        <item x="215"/>
        <item x="620"/>
        <item x="85"/>
        <item x="239"/>
        <item x="703"/>
        <item x="506"/>
        <item x="123"/>
        <item x="907"/>
        <item x="842"/>
        <item x="199"/>
        <item x="406"/>
        <item x="227"/>
        <item x="548"/>
        <item x="841"/>
        <item x="98"/>
        <item x="759"/>
        <item x="246"/>
        <item x="167"/>
        <item x="57"/>
        <item x="732"/>
        <item x="220"/>
        <item x="21"/>
        <item x="172"/>
        <item x="804"/>
        <item x="419"/>
        <item x="848"/>
        <item x="91"/>
        <item x="650"/>
        <item x="734"/>
        <item x="566"/>
        <item x="102"/>
        <item x="414"/>
        <item x="430"/>
        <item x="372"/>
        <item x="10"/>
        <item x="917"/>
        <item x="583"/>
        <item x="691"/>
        <item x="754"/>
        <item x="867"/>
        <item x="110"/>
        <item x="631"/>
        <item x="153"/>
        <item x="151"/>
        <item x="241"/>
        <item x="323"/>
        <item x="23"/>
        <item x="163"/>
        <item x="733"/>
        <item x="818"/>
        <item x="293"/>
        <item x="552"/>
        <item x="495"/>
        <item x="706"/>
        <item x="397"/>
        <item x="477"/>
        <item x="519"/>
        <item x="704"/>
        <item x="697"/>
        <item x="322"/>
        <item x="809"/>
        <item x="690"/>
        <item x="124"/>
        <item x="668"/>
        <item x="672"/>
        <item x="305"/>
        <item x="5"/>
        <item x="360"/>
        <item x="350"/>
        <item x="473"/>
        <item x="549"/>
        <item x="399"/>
        <item x="614"/>
        <item x="347"/>
        <item x="66"/>
        <item x="280"/>
        <item x="212"/>
        <item x="606"/>
        <item x="760"/>
        <item x="133"/>
        <item x="411"/>
        <item x="660"/>
        <item x="210"/>
        <item x="471"/>
        <item x="264"/>
        <item x="18"/>
        <item x="905"/>
        <item x="224"/>
        <item x="235"/>
        <item x="250"/>
        <item x="520"/>
        <item x="675"/>
        <item x="628"/>
        <item x="292"/>
        <item x="439"/>
        <item x="653"/>
        <item x="941"/>
        <item x="822"/>
        <item x="820"/>
        <item x="49"/>
        <item x="455"/>
        <item x="154"/>
        <item x="806"/>
        <item x="55"/>
        <item x="165"/>
        <item x="911"/>
        <item x="695"/>
        <item x="560"/>
        <item x="801"/>
        <item x="670"/>
        <item x="652"/>
        <item x="342"/>
        <item x="655"/>
        <item x="769"/>
        <item x="422"/>
        <item x="9"/>
        <item x="644"/>
        <item x="807"/>
        <item x="776"/>
        <item x="927"/>
        <item x="913"/>
        <item x="739"/>
        <item x="605"/>
        <item x="766"/>
        <item x="515"/>
        <item x="84"/>
        <item x="62"/>
        <item x="16"/>
        <item x="396"/>
        <item x="663"/>
        <item x="178"/>
        <item x="346"/>
        <item x="862"/>
        <item x="336"/>
        <item x="829"/>
        <item x="538"/>
        <item x="132"/>
        <item x="882"/>
        <item x="358"/>
        <item x="413"/>
        <item x="857"/>
        <item x="306"/>
        <item x="524"/>
        <item x="509"/>
        <item x="507"/>
        <item x="544"/>
        <item x="349"/>
        <item x="203"/>
        <item x="176"/>
        <item x="378"/>
        <item x="501"/>
        <item x="565"/>
        <item x="603"/>
        <item x="492"/>
        <item x="864"/>
        <item x="726"/>
        <item x="101"/>
        <item x="130"/>
        <item x="476"/>
        <item x="254"/>
        <item x="77"/>
        <item x="324"/>
        <item x="486"/>
        <item x="772"/>
        <item x="796"/>
        <item x="850"/>
        <item x="597"/>
        <item x="136"/>
        <item x="321"/>
        <item x="366"/>
        <item x="4"/>
        <item x="843"/>
        <item x="750"/>
        <item x="740"/>
        <item x="367"/>
        <item x="892"/>
        <item x="497"/>
        <item x="545"/>
        <item x="193"/>
        <item x="96"/>
        <item x="932"/>
        <item x="218"/>
        <item x="14"/>
        <item x="656"/>
        <item x="313"/>
        <item x="207"/>
        <item x="214"/>
        <item x="893"/>
        <item x="493"/>
        <item x="348"/>
        <item x="43"/>
        <item x="634"/>
        <item x="126"/>
        <item x="525"/>
        <item x="529"/>
        <item x="839"/>
        <item x="444"/>
        <item x="575"/>
        <item x="464"/>
        <item x="590"/>
        <item x="247"/>
        <item x="205"/>
        <item x="679"/>
        <item x="469"/>
        <item x="478"/>
        <item x="677"/>
        <item x="641"/>
        <item x="206"/>
        <item x="449"/>
        <item x="823"/>
        <item x="537"/>
        <item x="678"/>
        <item x="17"/>
        <item x="615"/>
        <item x="617"/>
        <item x="393"/>
        <item x="183"/>
        <item x="182"/>
        <item x="267"/>
        <item x="169"/>
        <item x="774"/>
        <item x="457"/>
        <item x="803"/>
        <item x="586"/>
        <item x="263"/>
        <item x="361"/>
        <item x="401"/>
        <item x="68"/>
        <item x="752"/>
        <item x="376"/>
        <item x="431"/>
        <item x="417"/>
        <item x="777"/>
        <item x="654"/>
        <item x="885"/>
        <item x="427"/>
        <item x="463"/>
        <item x="922"/>
        <item x="676"/>
        <item x="65"/>
        <item x="682"/>
        <item x="696"/>
        <item x="257"/>
        <item x="861"/>
        <item x="302"/>
        <item x="470"/>
        <item x="612"/>
        <item x="373"/>
        <item x="599"/>
        <item x="115"/>
        <item x="642"/>
        <item x="229"/>
        <item x="404"/>
        <item x="291"/>
        <item x="791"/>
        <item x="121"/>
        <item x="521"/>
        <item x="384"/>
        <item x="814"/>
        <item x="472"/>
        <item x="289"/>
        <item x="505"/>
        <item x="762"/>
        <item x="195"/>
        <item x="790"/>
        <item x="2"/>
        <item x="222"/>
        <item x="458"/>
        <item x="428"/>
        <item x="189"/>
        <item x="724"/>
        <item x="166"/>
        <item x="381"/>
        <item x="736"/>
        <item x="488"/>
        <item x="144"/>
        <item x="876"/>
        <item x="34"/>
        <item x="272"/>
        <item x="22"/>
        <item x="362"/>
        <item x="723"/>
        <item x="383"/>
        <item x="314"/>
        <item x="432"/>
        <item x="433"/>
        <item x="328"/>
        <item x="402"/>
        <item x="479"/>
        <item x="44"/>
        <item x="277"/>
        <item x="745"/>
        <item x="111"/>
        <item x="243"/>
        <item x="73"/>
        <item x="688"/>
        <item x="42"/>
        <item x="890"/>
        <item x="177"/>
        <item x="626"/>
        <item x="265"/>
        <item x="368"/>
        <item x="270"/>
        <item x="870"/>
        <item x="389"/>
        <item x="440"/>
        <item x="709"/>
        <item x="338"/>
        <item x="489"/>
        <item x="886"/>
        <item x="188"/>
        <item x="274"/>
        <item x="334"/>
        <item x="787"/>
        <item x="608"/>
        <item x="873"/>
        <item x="252"/>
        <item x="340"/>
        <item x="148"/>
        <item x="835"/>
        <item x="800"/>
        <item x="633"/>
        <item x="312"/>
        <item x="450"/>
        <item x="698"/>
        <item x="815"/>
        <item x="559"/>
        <item x="910"/>
        <item x="86"/>
        <item x="915"/>
        <item x="175"/>
        <item x="335"/>
        <item x="727"/>
        <item x="28"/>
        <item x="122"/>
        <item x="613"/>
        <item x="600"/>
        <item x="127"/>
        <item x="629"/>
        <item x="643"/>
        <item x="75"/>
        <item x="722"/>
        <item x="934"/>
        <item x="41"/>
        <item x="447"/>
        <item x="496"/>
        <item x="129"/>
        <item x="421"/>
        <item x="596"/>
        <item x="248"/>
        <item x="535"/>
        <item x="453"/>
        <item x="416"/>
        <item x="56"/>
        <item x="637"/>
        <item x="211"/>
        <item x="767"/>
        <item x="674"/>
        <item x="232"/>
        <item x="251"/>
        <item x="443"/>
        <item x="329"/>
        <item x="619"/>
        <item x="764"/>
        <item x="27"/>
        <item x="409"/>
        <item x="352"/>
        <item x="152"/>
        <item x="749"/>
        <item x="233"/>
        <item x="192"/>
        <item x="108"/>
        <item x="311"/>
        <item x="746"/>
        <item x="370"/>
        <item x="278"/>
        <item x="137"/>
        <item x="59"/>
        <item x="627"/>
        <item x="711"/>
        <item x="279"/>
        <item x="563"/>
        <item x="693"/>
        <item x="237"/>
        <item x="35"/>
        <item x="296"/>
        <item x="579"/>
        <item x="400"/>
        <item x="40"/>
        <item x="38"/>
        <item x="452"/>
        <item x="707"/>
        <item x="72"/>
        <item x="851"/>
        <item x="474"/>
        <item x="904"/>
        <item x="837"/>
        <item x="88"/>
        <item x="859"/>
        <item x="320"/>
        <item x="179"/>
        <item x="359"/>
        <item x="131"/>
        <item x="592"/>
        <item x="919"/>
        <item x="295"/>
        <item x="92"/>
        <item x="100"/>
        <item x="119"/>
        <item x="513"/>
        <item x="238"/>
        <item x="589"/>
        <item x="810"/>
        <item x="618"/>
        <item x="143"/>
        <item x="377"/>
        <item x="713"/>
        <item x="621"/>
        <item x="574"/>
        <item x="104"/>
        <item x="236"/>
        <item x="82"/>
        <item x="487"/>
        <item x="407"/>
        <item x="157"/>
        <item x="930"/>
        <item x="194"/>
        <item x="825"/>
        <item x="541"/>
        <item x="625"/>
        <item x="874"/>
        <item x="531"/>
        <item x="819"/>
        <item x="543"/>
        <item x="354"/>
        <item x="931"/>
        <item x="468"/>
        <item x="282"/>
        <item x="140"/>
        <item x="356"/>
        <item x="81"/>
        <item x="448"/>
        <item x="281"/>
        <item x="539"/>
        <item x="828"/>
        <item x="117"/>
        <item x="363"/>
        <item x="783"/>
        <item x="388"/>
        <item x="540"/>
        <item x="219"/>
        <item x="742"/>
        <item x="665"/>
        <item x="551"/>
        <item x="517"/>
        <item x="317"/>
        <item x="162"/>
        <item x="64"/>
        <item x="868"/>
        <item x="58"/>
        <item x="79"/>
        <item x="901"/>
        <item x="80"/>
        <item x="781"/>
        <item x="845"/>
        <item x="765"/>
        <item x="423"/>
        <item x="553"/>
        <item x="824"/>
        <item x="244"/>
        <item x="526"/>
        <item x="877"/>
        <item x="687"/>
        <item x="490"/>
        <item x="748"/>
        <item x="883"/>
        <item x="339"/>
        <item x="11"/>
        <item x="795"/>
        <item x="187"/>
        <item x="593"/>
        <item x="285"/>
        <item x="570"/>
        <item x="120"/>
        <item x="716"/>
        <item x="811"/>
        <item x="571"/>
        <item x="294"/>
        <item x="284"/>
        <item x="578"/>
        <item x="392"/>
        <item x="276"/>
        <item x="683"/>
        <item x="536"/>
        <item x="821"/>
        <item x="480"/>
        <item x="567"/>
        <item x="139"/>
        <item x="249"/>
        <item x="74"/>
        <item x="147"/>
        <item x="168"/>
        <item x="454"/>
        <item x="429"/>
        <item x="442"/>
        <item x="595"/>
        <item x="107"/>
        <item x="446"/>
        <item x="847"/>
        <item x="710"/>
        <item x="771"/>
        <item x="510"/>
        <item x="702"/>
        <item x="914"/>
        <item x="466"/>
        <item x="753"/>
        <item x="735"/>
        <item x="387"/>
        <item x="226"/>
        <item x="744"/>
        <item x="48"/>
        <item x="659"/>
        <item x="498"/>
        <item x="355"/>
        <item x="582"/>
        <item x="142"/>
        <item x="568"/>
        <item x="30"/>
        <item x="879"/>
        <item x="792"/>
        <item x="636"/>
        <item x="899"/>
        <item x="20"/>
        <item x="106"/>
        <item x="881"/>
        <item x="266"/>
        <item x="813"/>
        <item x="426"/>
        <item x="467"/>
        <item x="516"/>
        <item x="391"/>
        <item x="717"/>
        <item x="299"/>
        <item x="161"/>
        <item x="47"/>
        <item x="731"/>
        <item x="715"/>
        <item x="303"/>
        <item x="300"/>
        <item x="880"/>
        <item x="601"/>
        <item x="181"/>
        <item x="221"/>
        <item x="664"/>
        <item x="680"/>
        <item x="849"/>
        <item x="204"/>
        <item x="491"/>
        <item x="273"/>
        <item x="379"/>
        <item x="925"/>
        <item x="875"/>
        <item x="70"/>
        <item x="866"/>
        <item x="113"/>
        <item x="522"/>
        <item x="798"/>
        <item x="838"/>
        <item x="485"/>
        <item x="228"/>
        <item x="156"/>
        <item x="572"/>
        <item x="76"/>
        <item x="832"/>
        <item x="345"/>
        <item x="562"/>
        <item x="720"/>
        <item x="125"/>
        <item x="591"/>
        <item x="573"/>
        <item x="667"/>
        <item x="623"/>
        <item x="906"/>
        <item x="171"/>
        <item x="78"/>
        <item x="7"/>
        <item x="128"/>
        <item x="353"/>
        <item x="351"/>
        <item x="365"/>
        <item x="318"/>
        <item x="245"/>
        <item x="923"/>
        <item x="588"/>
        <item x="6"/>
        <item x="936"/>
        <item x="481"/>
        <item x="61"/>
        <item x="45"/>
        <item x="262"/>
        <item x="542"/>
        <item x="462"/>
        <item x="213"/>
        <item x="836"/>
        <item x="160"/>
        <item x="408"/>
        <item x="37"/>
        <item x="685"/>
        <item x="532"/>
        <item x="556"/>
        <item x="719"/>
        <item x="158"/>
        <item x="371"/>
        <item x="920"/>
        <item x="834"/>
        <item x="528"/>
        <item x="141"/>
        <item x="190"/>
        <item x="635"/>
        <item x="135"/>
        <item x="797"/>
        <item x="483"/>
        <item x="271"/>
        <item x="770"/>
        <item x="669"/>
        <item x="584"/>
        <item x="253"/>
        <item x="425"/>
        <item x="888"/>
        <item x="436"/>
        <item x="261"/>
        <item x="926"/>
        <item x="269"/>
        <item x="184"/>
        <item x="268"/>
        <item x="651"/>
        <item x="390"/>
        <item x="546"/>
        <item x="705"/>
        <item x="307"/>
        <item x="737"/>
        <item x="779"/>
        <item x="46"/>
        <item x="699"/>
        <item x="112"/>
        <item x="921"/>
        <item x="831"/>
        <item x="630"/>
        <item x="484"/>
        <item x="611"/>
        <item x="51"/>
        <item x="118"/>
        <item x="701"/>
        <item x="405"/>
        <item x="895"/>
        <item x="19"/>
        <item x="755"/>
        <item x="385"/>
        <item x="681"/>
        <item x="894"/>
        <item x="768"/>
        <item x="788"/>
        <item x="290"/>
        <item x="99"/>
        <item x="504"/>
        <item x="395"/>
        <item x="865"/>
        <item x="8"/>
        <item x="514"/>
        <item x="503"/>
        <item x="686"/>
        <item x="758"/>
        <item x="308"/>
        <item x="90"/>
        <item x="805"/>
        <item x="649"/>
        <item x="826"/>
        <item x="217"/>
        <item x="692"/>
        <item x="756"/>
        <item x="374"/>
        <item x="647"/>
        <item x="451"/>
        <item x="103"/>
        <item x="594"/>
        <item x="624"/>
        <item x="32"/>
        <item x="853"/>
        <item x="757"/>
        <item x="598"/>
        <item x="185"/>
        <item x="785"/>
        <item x="326"/>
        <item x="547"/>
        <item x="511"/>
        <item x="632"/>
        <item x="499"/>
        <item x="242"/>
        <item x="666"/>
        <item x="671"/>
        <item x="410"/>
        <item x="482"/>
        <item x="689"/>
        <item x="616"/>
        <item x="337"/>
        <item x="231"/>
        <item x="234"/>
        <item x="50"/>
        <item x="33"/>
        <item x="435"/>
        <item x="225"/>
        <item x="327"/>
        <item x="494"/>
        <item x="855"/>
        <item x="29"/>
        <item x="782"/>
        <item x="817"/>
        <item x="240"/>
        <item x="661"/>
        <item x="465"/>
        <item x="191"/>
        <item x="87"/>
        <item x="721"/>
        <item x="15"/>
        <item x="198"/>
        <item x="639"/>
        <item x="375"/>
        <item x="884"/>
        <item x="585"/>
        <item x="673"/>
        <item x="714"/>
        <item x="260"/>
        <item x="93"/>
        <item x="747"/>
        <item x="684"/>
        <item x="309"/>
        <item x="459"/>
        <item x="0"/>
        <item x="316"/>
        <item x="412"/>
        <item x="170"/>
        <item x="475"/>
        <item x="918"/>
        <item x="830"/>
        <item x="310"/>
        <item x="871"/>
        <item x="202"/>
        <item x="928"/>
        <item x="180"/>
        <item x="940"/>
        <item x="872"/>
        <item x="743"/>
        <item x="456"/>
        <item x="155"/>
        <item x="662"/>
        <item x="730"/>
        <item x="25"/>
        <item x="741"/>
        <item x="604"/>
        <item x="933"/>
        <item x="789"/>
        <item x="518"/>
        <item x="554"/>
        <item x="83"/>
        <item x="319"/>
        <item x="939"/>
        <item x="816"/>
        <item x="712"/>
        <item x="369"/>
        <item x="94"/>
        <item x="846"/>
        <item x="780"/>
        <item x="69"/>
        <item x="622"/>
        <item x="558"/>
        <item x="230"/>
        <item x="71"/>
        <item x="793"/>
        <item x="645"/>
        <item x="658"/>
        <item x="708"/>
        <item x="286"/>
        <item x="799"/>
        <item x="902"/>
        <item x="364"/>
        <item x="763"/>
        <item x="216"/>
        <item x="437"/>
        <item x="833"/>
        <item x="420"/>
        <item x="909"/>
        <item x="223"/>
        <item x="557"/>
        <item t="default"/>
      </items>
    </pivotField>
    <pivotField showAll="0"/>
    <pivotField dataField="1" showAll="0">
      <items count="18">
        <item x="7"/>
        <item x="1"/>
        <item x="15"/>
        <item x="12"/>
        <item x="3"/>
        <item x="13"/>
        <item x="8"/>
        <item x="9"/>
        <item x="10"/>
        <item x="4"/>
        <item x="2"/>
        <item x="11"/>
        <item x="6"/>
        <item x="5"/>
        <item x="16"/>
        <item x="0"/>
        <item x="14"/>
        <item t="default"/>
      </items>
    </pivotField>
    <pivotField showAll="0">
      <items count="3">
        <item x="0"/>
        <item x="1"/>
        <item t="default"/>
      </items>
    </pivotField>
    <pivotField showAll="0">
      <items count="4">
        <item x="2"/>
        <item x="0"/>
        <item x="1"/>
        <item t="default"/>
      </items>
    </pivotField>
    <pivotField showAll="0"/>
    <pivotField showAll="0"/>
    <pivotField showAll="0">
      <items count="13">
        <item x="1"/>
        <item x="3"/>
        <item x="5"/>
        <item x="4"/>
        <item x="9"/>
        <item x="2"/>
        <item x="11"/>
        <item x="8"/>
        <item x="10"/>
        <item x="6"/>
        <item x="7"/>
        <item x="0"/>
        <item t="default"/>
      </items>
    </pivotField>
    <pivotField showAll="0"/>
    <pivotField showAll="0"/>
    <pivotField showAll="0"/>
    <pivotField showAll="0">
      <items count="21">
        <item x="8"/>
        <item x="13"/>
        <item x="10"/>
        <item x="17"/>
        <item x="5"/>
        <item x="3"/>
        <item x="1"/>
        <item x="16"/>
        <item x="15"/>
        <item x="4"/>
        <item x="19"/>
        <item x="12"/>
        <item x="9"/>
        <item x="0"/>
        <item x="11"/>
        <item x="18"/>
        <item x="7"/>
        <item x="2"/>
        <item x="6"/>
        <item x="14"/>
        <item t="default"/>
      </items>
    </pivotField>
    <pivotField showAll="0">
      <items count="11">
        <item x="3"/>
        <item x="9"/>
        <item x="1"/>
        <item x="0"/>
        <item x="8"/>
        <item x="7"/>
        <item x="5"/>
        <item x="6"/>
        <item x="2"/>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icket_amount" fld="6" baseField="0" baseItem="0" numFmtId="165"/>
  </dataFields>
  <formats count="1">
    <format dxfId="39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44B203-7F31-4A9A-B369-21783F394FCC}" name="PivotTable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19">
    <pivotField showAll="0"/>
    <pivotField showAll="0"/>
    <pivotField showAll="0"/>
    <pivotField showAll="0"/>
    <pivotField numFmtId="164" showAll="0">
      <items count="943">
        <item x="775"/>
        <item x="784"/>
        <item x="60"/>
        <item x="889"/>
        <item x="341"/>
        <item x="908"/>
        <item x="54"/>
        <item x="159"/>
        <item x="461"/>
        <item x="259"/>
        <item x="802"/>
        <item x="394"/>
        <item x="344"/>
        <item x="438"/>
        <item x="924"/>
        <item x="718"/>
        <item x="609"/>
        <item x="332"/>
        <item x="827"/>
        <item x="434"/>
        <item x="500"/>
        <item x="173"/>
        <item x="577"/>
        <item x="380"/>
        <item x="898"/>
        <item x="26"/>
        <item x="418"/>
        <item x="794"/>
        <item x="896"/>
        <item x="403"/>
        <item x="200"/>
        <item x="646"/>
        <item x="587"/>
        <item x="67"/>
        <item x="929"/>
        <item x="657"/>
        <item x="186"/>
        <item x="534"/>
        <item x="869"/>
        <item x="146"/>
        <item x="31"/>
        <item x="778"/>
        <item x="856"/>
        <item x="445"/>
        <item x="258"/>
        <item x="607"/>
        <item x="256"/>
        <item x="255"/>
        <item x="502"/>
        <item x="36"/>
        <item x="512"/>
        <item x="441"/>
        <item x="580"/>
        <item x="844"/>
        <item x="937"/>
        <item x="751"/>
        <item x="415"/>
        <item x="700"/>
        <item x="863"/>
        <item x="773"/>
        <item x="150"/>
        <item x="116"/>
        <item x="297"/>
        <item x="533"/>
        <item x="897"/>
        <item x="638"/>
        <item x="398"/>
        <item x="52"/>
        <item x="761"/>
        <item x="530"/>
        <item x="602"/>
        <item x="134"/>
        <item x="840"/>
        <item x="1"/>
        <item x="903"/>
        <item x="95"/>
        <item x="550"/>
        <item x="304"/>
        <item x="564"/>
        <item x="97"/>
        <item x="891"/>
        <item x="164"/>
        <item x="13"/>
        <item x="109"/>
        <item x="640"/>
        <item x="878"/>
        <item x="581"/>
        <item x="343"/>
        <item x="728"/>
        <item x="786"/>
        <item x="900"/>
        <item x="114"/>
        <item x="357"/>
        <item x="935"/>
        <item x="53"/>
        <item x="63"/>
        <item x="275"/>
        <item x="386"/>
        <item x="858"/>
        <item x="209"/>
        <item x="3"/>
        <item x="887"/>
        <item x="39"/>
        <item x="330"/>
        <item x="460"/>
        <item x="331"/>
        <item x="24"/>
        <item x="912"/>
        <item x="208"/>
        <item x="854"/>
        <item x="288"/>
        <item x="648"/>
        <item x="12"/>
        <item x="89"/>
        <item x="201"/>
        <item x="523"/>
        <item x="555"/>
        <item x="508"/>
        <item x="325"/>
        <item x="174"/>
        <item x="298"/>
        <item x="610"/>
        <item x="938"/>
        <item x="852"/>
        <item x="569"/>
        <item x="738"/>
        <item x="197"/>
        <item x="283"/>
        <item x="561"/>
        <item x="138"/>
        <item x="149"/>
        <item x="725"/>
        <item x="812"/>
        <item x="105"/>
        <item x="860"/>
        <item x="424"/>
        <item x="315"/>
        <item x="382"/>
        <item x="916"/>
        <item x="333"/>
        <item x="527"/>
        <item x="196"/>
        <item x="287"/>
        <item x="808"/>
        <item x="301"/>
        <item x="576"/>
        <item x="729"/>
        <item x="145"/>
        <item x="694"/>
        <item x="215"/>
        <item x="620"/>
        <item x="85"/>
        <item x="239"/>
        <item x="703"/>
        <item x="506"/>
        <item x="123"/>
        <item x="907"/>
        <item x="842"/>
        <item x="199"/>
        <item x="406"/>
        <item x="227"/>
        <item x="548"/>
        <item x="841"/>
        <item x="98"/>
        <item x="759"/>
        <item x="246"/>
        <item x="167"/>
        <item x="57"/>
        <item x="732"/>
        <item x="220"/>
        <item x="21"/>
        <item x="172"/>
        <item x="804"/>
        <item x="419"/>
        <item x="848"/>
        <item x="91"/>
        <item x="650"/>
        <item x="734"/>
        <item x="566"/>
        <item x="102"/>
        <item x="414"/>
        <item x="430"/>
        <item x="372"/>
        <item x="10"/>
        <item x="917"/>
        <item x="583"/>
        <item x="691"/>
        <item x="754"/>
        <item x="867"/>
        <item x="110"/>
        <item x="631"/>
        <item x="153"/>
        <item x="151"/>
        <item x="241"/>
        <item x="323"/>
        <item x="23"/>
        <item x="163"/>
        <item x="733"/>
        <item x="818"/>
        <item x="293"/>
        <item x="552"/>
        <item x="495"/>
        <item x="706"/>
        <item x="397"/>
        <item x="477"/>
        <item x="519"/>
        <item x="704"/>
        <item x="697"/>
        <item x="322"/>
        <item x="809"/>
        <item x="690"/>
        <item x="124"/>
        <item x="668"/>
        <item x="672"/>
        <item x="305"/>
        <item x="5"/>
        <item x="360"/>
        <item x="350"/>
        <item x="473"/>
        <item x="549"/>
        <item x="399"/>
        <item x="614"/>
        <item x="347"/>
        <item x="66"/>
        <item x="280"/>
        <item x="212"/>
        <item x="606"/>
        <item x="760"/>
        <item x="133"/>
        <item x="411"/>
        <item x="660"/>
        <item x="210"/>
        <item x="471"/>
        <item x="264"/>
        <item x="18"/>
        <item x="905"/>
        <item x="224"/>
        <item x="235"/>
        <item x="250"/>
        <item x="520"/>
        <item x="675"/>
        <item x="628"/>
        <item x="292"/>
        <item x="439"/>
        <item x="653"/>
        <item x="941"/>
        <item x="822"/>
        <item x="820"/>
        <item x="49"/>
        <item x="455"/>
        <item x="154"/>
        <item x="806"/>
        <item x="55"/>
        <item x="165"/>
        <item x="911"/>
        <item x="695"/>
        <item x="560"/>
        <item x="801"/>
        <item x="670"/>
        <item x="652"/>
        <item x="342"/>
        <item x="655"/>
        <item x="769"/>
        <item x="422"/>
        <item x="9"/>
        <item x="644"/>
        <item x="807"/>
        <item x="776"/>
        <item x="927"/>
        <item x="913"/>
        <item x="739"/>
        <item x="605"/>
        <item x="766"/>
        <item x="515"/>
        <item x="84"/>
        <item x="62"/>
        <item x="16"/>
        <item x="396"/>
        <item x="663"/>
        <item x="178"/>
        <item x="346"/>
        <item x="862"/>
        <item x="336"/>
        <item x="829"/>
        <item x="538"/>
        <item x="132"/>
        <item x="882"/>
        <item x="358"/>
        <item x="413"/>
        <item x="857"/>
        <item x="306"/>
        <item x="524"/>
        <item x="509"/>
        <item x="507"/>
        <item x="544"/>
        <item x="349"/>
        <item x="203"/>
        <item x="176"/>
        <item x="378"/>
        <item x="501"/>
        <item x="565"/>
        <item x="603"/>
        <item x="492"/>
        <item x="864"/>
        <item x="726"/>
        <item x="101"/>
        <item x="130"/>
        <item x="476"/>
        <item x="254"/>
        <item x="77"/>
        <item x="324"/>
        <item x="486"/>
        <item x="772"/>
        <item x="796"/>
        <item x="850"/>
        <item x="597"/>
        <item x="136"/>
        <item x="321"/>
        <item x="366"/>
        <item x="4"/>
        <item x="843"/>
        <item x="750"/>
        <item x="740"/>
        <item x="367"/>
        <item x="892"/>
        <item x="497"/>
        <item x="545"/>
        <item x="193"/>
        <item x="96"/>
        <item x="932"/>
        <item x="218"/>
        <item x="14"/>
        <item x="656"/>
        <item x="313"/>
        <item x="207"/>
        <item x="214"/>
        <item x="893"/>
        <item x="493"/>
        <item x="348"/>
        <item x="43"/>
        <item x="634"/>
        <item x="126"/>
        <item x="525"/>
        <item x="529"/>
        <item x="839"/>
        <item x="444"/>
        <item x="575"/>
        <item x="464"/>
        <item x="590"/>
        <item x="247"/>
        <item x="205"/>
        <item x="679"/>
        <item x="469"/>
        <item x="478"/>
        <item x="677"/>
        <item x="641"/>
        <item x="206"/>
        <item x="449"/>
        <item x="823"/>
        <item x="537"/>
        <item x="678"/>
        <item x="17"/>
        <item x="615"/>
        <item x="617"/>
        <item x="393"/>
        <item x="183"/>
        <item x="182"/>
        <item x="267"/>
        <item x="169"/>
        <item x="774"/>
        <item x="457"/>
        <item x="803"/>
        <item x="586"/>
        <item x="263"/>
        <item x="361"/>
        <item x="401"/>
        <item x="68"/>
        <item x="752"/>
        <item x="376"/>
        <item x="431"/>
        <item x="417"/>
        <item x="777"/>
        <item x="654"/>
        <item x="885"/>
        <item x="427"/>
        <item x="463"/>
        <item x="922"/>
        <item x="676"/>
        <item x="65"/>
        <item x="682"/>
        <item x="696"/>
        <item x="257"/>
        <item x="861"/>
        <item x="302"/>
        <item x="470"/>
        <item x="612"/>
        <item x="373"/>
        <item x="599"/>
        <item x="115"/>
        <item x="642"/>
        <item x="229"/>
        <item x="404"/>
        <item x="291"/>
        <item x="791"/>
        <item x="121"/>
        <item x="521"/>
        <item x="384"/>
        <item x="814"/>
        <item x="472"/>
        <item x="289"/>
        <item x="505"/>
        <item x="762"/>
        <item x="195"/>
        <item x="790"/>
        <item x="2"/>
        <item x="222"/>
        <item x="458"/>
        <item x="428"/>
        <item x="189"/>
        <item x="724"/>
        <item x="166"/>
        <item x="381"/>
        <item x="736"/>
        <item x="488"/>
        <item x="144"/>
        <item x="876"/>
        <item x="34"/>
        <item x="272"/>
        <item x="22"/>
        <item x="362"/>
        <item x="723"/>
        <item x="383"/>
        <item x="314"/>
        <item x="432"/>
        <item x="433"/>
        <item x="328"/>
        <item x="402"/>
        <item x="479"/>
        <item x="44"/>
        <item x="277"/>
        <item x="745"/>
        <item x="111"/>
        <item x="243"/>
        <item x="73"/>
        <item x="688"/>
        <item x="42"/>
        <item x="890"/>
        <item x="177"/>
        <item x="626"/>
        <item x="265"/>
        <item x="368"/>
        <item x="270"/>
        <item x="870"/>
        <item x="389"/>
        <item x="440"/>
        <item x="709"/>
        <item x="338"/>
        <item x="489"/>
        <item x="886"/>
        <item x="188"/>
        <item x="274"/>
        <item x="334"/>
        <item x="787"/>
        <item x="608"/>
        <item x="873"/>
        <item x="252"/>
        <item x="340"/>
        <item x="148"/>
        <item x="835"/>
        <item x="800"/>
        <item x="633"/>
        <item x="312"/>
        <item x="450"/>
        <item x="698"/>
        <item x="815"/>
        <item x="559"/>
        <item x="910"/>
        <item x="86"/>
        <item x="915"/>
        <item x="175"/>
        <item x="335"/>
        <item x="727"/>
        <item x="28"/>
        <item x="122"/>
        <item x="613"/>
        <item x="600"/>
        <item x="127"/>
        <item x="629"/>
        <item x="643"/>
        <item x="75"/>
        <item x="722"/>
        <item x="934"/>
        <item x="41"/>
        <item x="447"/>
        <item x="496"/>
        <item x="129"/>
        <item x="421"/>
        <item x="596"/>
        <item x="248"/>
        <item x="535"/>
        <item x="453"/>
        <item x="416"/>
        <item x="56"/>
        <item x="637"/>
        <item x="211"/>
        <item x="767"/>
        <item x="674"/>
        <item x="232"/>
        <item x="251"/>
        <item x="443"/>
        <item x="329"/>
        <item x="619"/>
        <item x="764"/>
        <item x="27"/>
        <item x="409"/>
        <item x="352"/>
        <item x="152"/>
        <item x="749"/>
        <item x="233"/>
        <item x="192"/>
        <item x="108"/>
        <item x="311"/>
        <item x="746"/>
        <item x="370"/>
        <item x="278"/>
        <item x="137"/>
        <item x="59"/>
        <item x="627"/>
        <item x="711"/>
        <item x="279"/>
        <item x="563"/>
        <item x="693"/>
        <item x="237"/>
        <item x="35"/>
        <item x="296"/>
        <item x="579"/>
        <item x="400"/>
        <item x="40"/>
        <item x="38"/>
        <item x="452"/>
        <item x="707"/>
        <item x="72"/>
        <item x="851"/>
        <item x="474"/>
        <item x="904"/>
        <item x="837"/>
        <item x="88"/>
        <item x="859"/>
        <item x="320"/>
        <item x="179"/>
        <item x="359"/>
        <item x="131"/>
        <item x="592"/>
        <item x="919"/>
        <item x="295"/>
        <item x="92"/>
        <item x="100"/>
        <item x="119"/>
        <item x="513"/>
        <item x="238"/>
        <item x="589"/>
        <item x="810"/>
        <item x="618"/>
        <item x="143"/>
        <item x="377"/>
        <item x="713"/>
        <item x="621"/>
        <item x="574"/>
        <item x="104"/>
        <item x="236"/>
        <item x="82"/>
        <item x="487"/>
        <item x="407"/>
        <item x="157"/>
        <item x="930"/>
        <item x="194"/>
        <item x="825"/>
        <item x="541"/>
        <item x="625"/>
        <item x="874"/>
        <item x="531"/>
        <item x="819"/>
        <item x="543"/>
        <item x="354"/>
        <item x="931"/>
        <item x="468"/>
        <item x="282"/>
        <item x="140"/>
        <item x="356"/>
        <item x="81"/>
        <item x="448"/>
        <item x="281"/>
        <item x="539"/>
        <item x="828"/>
        <item x="117"/>
        <item x="363"/>
        <item x="783"/>
        <item x="388"/>
        <item x="540"/>
        <item x="219"/>
        <item x="742"/>
        <item x="665"/>
        <item x="551"/>
        <item x="517"/>
        <item x="317"/>
        <item x="162"/>
        <item x="64"/>
        <item x="868"/>
        <item x="58"/>
        <item x="79"/>
        <item x="901"/>
        <item x="80"/>
        <item x="781"/>
        <item x="845"/>
        <item x="765"/>
        <item x="423"/>
        <item x="553"/>
        <item x="824"/>
        <item x="244"/>
        <item x="526"/>
        <item x="877"/>
        <item x="687"/>
        <item x="490"/>
        <item x="748"/>
        <item x="883"/>
        <item x="339"/>
        <item x="11"/>
        <item x="795"/>
        <item x="187"/>
        <item x="593"/>
        <item x="285"/>
        <item x="570"/>
        <item x="120"/>
        <item x="716"/>
        <item x="811"/>
        <item x="571"/>
        <item x="294"/>
        <item x="284"/>
        <item x="578"/>
        <item x="392"/>
        <item x="276"/>
        <item x="683"/>
        <item x="536"/>
        <item x="821"/>
        <item x="480"/>
        <item x="567"/>
        <item x="139"/>
        <item x="249"/>
        <item x="74"/>
        <item x="147"/>
        <item x="168"/>
        <item x="454"/>
        <item x="429"/>
        <item x="442"/>
        <item x="595"/>
        <item x="107"/>
        <item x="446"/>
        <item x="847"/>
        <item x="710"/>
        <item x="771"/>
        <item x="510"/>
        <item x="702"/>
        <item x="914"/>
        <item x="466"/>
        <item x="753"/>
        <item x="735"/>
        <item x="387"/>
        <item x="226"/>
        <item x="744"/>
        <item x="48"/>
        <item x="659"/>
        <item x="498"/>
        <item x="355"/>
        <item x="582"/>
        <item x="142"/>
        <item x="568"/>
        <item x="30"/>
        <item x="879"/>
        <item x="792"/>
        <item x="636"/>
        <item x="899"/>
        <item x="20"/>
        <item x="106"/>
        <item x="881"/>
        <item x="266"/>
        <item x="813"/>
        <item x="426"/>
        <item x="467"/>
        <item x="516"/>
        <item x="391"/>
        <item x="717"/>
        <item x="299"/>
        <item x="161"/>
        <item x="47"/>
        <item x="731"/>
        <item x="715"/>
        <item x="303"/>
        <item x="300"/>
        <item x="880"/>
        <item x="601"/>
        <item x="181"/>
        <item x="221"/>
        <item x="664"/>
        <item x="680"/>
        <item x="849"/>
        <item x="204"/>
        <item x="491"/>
        <item x="273"/>
        <item x="379"/>
        <item x="925"/>
        <item x="875"/>
        <item x="70"/>
        <item x="866"/>
        <item x="113"/>
        <item x="522"/>
        <item x="798"/>
        <item x="838"/>
        <item x="485"/>
        <item x="228"/>
        <item x="156"/>
        <item x="572"/>
        <item x="76"/>
        <item x="832"/>
        <item x="345"/>
        <item x="562"/>
        <item x="720"/>
        <item x="125"/>
        <item x="591"/>
        <item x="573"/>
        <item x="667"/>
        <item x="623"/>
        <item x="906"/>
        <item x="171"/>
        <item x="78"/>
        <item x="7"/>
        <item x="128"/>
        <item x="353"/>
        <item x="351"/>
        <item x="365"/>
        <item x="318"/>
        <item x="245"/>
        <item x="923"/>
        <item x="588"/>
        <item x="6"/>
        <item x="936"/>
        <item x="481"/>
        <item x="61"/>
        <item x="45"/>
        <item x="262"/>
        <item x="542"/>
        <item x="462"/>
        <item x="213"/>
        <item x="836"/>
        <item x="160"/>
        <item x="408"/>
        <item x="37"/>
        <item x="685"/>
        <item x="532"/>
        <item x="556"/>
        <item x="719"/>
        <item x="158"/>
        <item x="371"/>
        <item x="920"/>
        <item x="834"/>
        <item x="528"/>
        <item x="141"/>
        <item x="190"/>
        <item x="635"/>
        <item x="135"/>
        <item x="797"/>
        <item x="483"/>
        <item x="271"/>
        <item x="770"/>
        <item x="669"/>
        <item x="584"/>
        <item x="253"/>
        <item x="425"/>
        <item x="888"/>
        <item x="436"/>
        <item x="261"/>
        <item x="926"/>
        <item x="269"/>
        <item x="184"/>
        <item x="268"/>
        <item x="651"/>
        <item x="390"/>
        <item x="546"/>
        <item x="705"/>
        <item x="307"/>
        <item x="737"/>
        <item x="779"/>
        <item x="46"/>
        <item x="699"/>
        <item x="112"/>
        <item x="921"/>
        <item x="831"/>
        <item x="630"/>
        <item x="484"/>
        <item x="611"/>
        <item x="51"/>
        <item x="118"/>
        <item x="701"/>
        <item x="405"/>
        <item x="895"/>
        <item x="19"/>
        <item x="755"/>
        <item x="385"/>
        <item x="681"/>
        <item x="894"/>
        <item x="768"/>
        <item x="788"/>
        <item x="290"/>
        <item x="99"/>
        <item x="504"/>
        <item x="395"/>
        <item x="865"/>
        <item x="8"/>
        <item x="514"/>
        <item x="503"/>
        <item x="686"/>
        <item x="758"/>
        <item x="308"/>
        <item x="90"/>
        <item x="805"/>
        <item x="649"/>
        <item x="826"/>
        <item x="217"/>
        <item x="692"/>
        <item x="756"/>
        <item x="374"/>
        <item x="647"/>
        <item x="451"/>
        <item x="103"/>
        <item x="594"/>
        <item x="624"/>
        <item x="32"/>
        <item x="853"/>
        <item x="757"/>
        <item x="598"/>
        <item x="185"/>
        <item x="785"/>
        <item x="326"/>
        <item x="547"/>
        <item x="511"/>
        <item x="632"/>
        <item x="499"/>
        <item x="242"/>
        <item x="666"/>
        <item x="671"/>
        <item x="410"/>
        <item x="482"/>
        <item x="689"/>
        <item x="616"/>
        <item x="337"/>
        <item x="231"/>
        <item x="234"/>
        <item x="50"/>
        <item x="33"/>
        <item x="435"/>
        <item x="225"/>
        <item x="327"/>
        <item x="494"/>
        <item x="855"/>
        <item x="29"/>
        <item x="782"/>
        <item x="817"/>
        <item x="240"/>
        <item x="661"/>
        <item x="465"/>
        <item x="191"/>
        <item x="87"/>
        <item x="721"/>
        <item x="15"/>
        <item x="198"/>
        <item x="639"/>
        <item x="375"/>
        <item x="884"/>
        <item x="585"/>
        <item x="673"/>
        <item x="714"/>
        <item x="260"/>
        <item x="93"/>
        <item x="747"/>
        <item x="684"/>
        <item x="309"/>
        <item x="459"/>
        <item x="0"/>
        <item x="316"/>
        <item x="412"/>
        <item x="170"/>
        <item x="475"/>
        <item x="918"/>
        <item x="830"/>
        <item x="310"/>
        <item x="871"/>
        <item x="202"/>
        <item x="928"/>
        <item x="180"/>
        <item x="940"/>
        <item x="872"/>
        <item x="743"/>
        <item x="456"/>
        <item x="155"/>
        <item x="662"/>
        <item x="730"/>
        <item x="25"/>
        <item x="741"/>
        <item x="604"/>
        <item x="933"/>
        <item x="789"/>
        <item x="518"/>
        <item x="554"/>
        <item x="83"/>
        <item x="319"/>
        <item x="939"/>
        <item x="816"/>
        <item x="712"/>
        <item x="369"/>
        <item x="94"/>
        <item x="846"/>
        <item x="780"/>
        <item x="69"/>
        <item x="622"/>
        <item x="558"/>
        <item x="230"/>
        <item x="71"/>
        <item x="793"/>
        <item x="645"/>
        <item x="658"/>
        <item x="708"/>
        <item x="286"/>
        <item x="799"/>
        <item x="902"/>
        <item x="364"/>
        <item x="763"/>
        <item x="216"/>
        <item x="437"/>
        <item x="833"/>
        <item x="420"/>
        <item x="909"/>
        <item x="223"/>
        <item x="557"/>
        <item t="default"/>
      </items>
    </pivotField>
    <pivotField showAll="0"/>
    <pivotField dataField="1" showAll="0">
      <items count="18">
        <item x="7"/>
        <item x="1"/>
        <item x="15"/>
        <item x="12"/>
        <item x="3"/>
        <item x="13"/>
        <item x="8"/>
        <item x="9"/>
        <item x="10"/>
        <item x="4"/>
        <item x="2"/>
        <item x="11"/>
        <item x="6"/>
        <item x="5"/>
        <item x="16"/>
        <item x="0"/>
        <item x="14"/>
        <item t="default"/>
      </items>
    </pivotField>
    <pivotField showAll="0">
      <items count="3">
        <item x="0"/>
        <item x="1"/>
        <item t="default"/>
      </items>
    </pivotField>
    <pivotField showAll="0">
      <items count="4">
        <item x="2"/>
        <item x="0"/>
        <item x="1"/>
        <item t="default"/>
      </items>
    </pivotField>
    <pivotField showAll="0"/>
    <pivotField showAll="0"/>
    <pivotField showAll="0">
      <items count="13">
        <item x="1"/>
        <item x="3"/>
        <item x="5"/>
        <item x="4"/>
        <item x="9"/>
        <item x="2"/>
        <item x="11"/>
        <item x="8"/>
        <item x="10"/>
        <item x="6"/>
        <item x="7"/>
        <item x="0"/>
        <item t="default"/>
      </items>
    </pivotField>
    <pivotField showAll="0"/>
    <pivotField showAll="0"/>
    <pivotField showAll="0"/>
    <pivotField showAll="0">
      <items count="21">
        <item x="8"/>
        <item x="13"/>
        <item x="10"/>
        <item x="17"/>
        <item x="5"/>
        <item x="3"/>
        <item x="1"/>
        <item x="16"/>
        <item x="15"/>
        <item x="4"/>
        <item x="19"/>
        <item x="12"/>
        <item x="9"/>
        <item x="0"/>
        <item x="11"/>
        <item x="18"/>
        <item x="7"/>
        <item x="2"/>
        <item x="6"/>
        <item x="14"/>
        <item t="default"/>
      </items>
    </pivotField>
    <pivotField showAll="0">
      <items count="11">
        <item x="3"/>
        <item x="9"/>
        <item x="1"/>
        <item x="0"/>
        <item x="8"/>
        <item x="7"/>
        <item x="5"/>
        <item x="6"/>
        <item x="2"/>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ticket_amount" fld="6" subtotal="average" baseField="0" baseItem="0" numFmtId="166"/>
  </dataFields>
  <formats count="1">
    <format dxfId="3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2C48E2-B29B-4EAA-A5C0-8D2EE20DAFF0}" name="PivotTable14" cacheId="3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57:B170" firstHeaderRow="1" firstDataRow="1" firstDataCol="1"/>
  <pivotFields count="19">
    <pivotField dataField="1" showAll="0"/>
    <pivotField showAll="0"/>
    <pivotField showAll="0"/>
    <pivotField showAll="0"/>
    <pivotField numFmtId="164" showAll="0">
      <items count="943">
        <item x="775"/>
        <item x="784"/>
        <item x="60"/>
        <item x="889"/>
        <item x="341"/>
        <item x="908"/>
        <item x="54"/>
        <item x="159"/>
        <item x="461"/>
        <item x="259"/>
        <item x="802"/>
        <item x="394"/>
        <item x="344"/>
        <item x="438"/>
        <item x="924"/>
        <item x="718"/>
        <item x="609"/>
        <item x="332"/>
        <item x="827"/>
        <item x="434"/>
        <item x="500"/>
        <item x="173"/>
        <item x="577"/>
        <item x="380"/>
        <item x="898"/>
        <item x="26"/>
        <item x="418"/>
        <item x="794"/>
        <item x="896"/>
        <item x="403"/>
        <item x="200"/>
        <item x="646"/>
        <item x="587"/>
        <item x="67"/>
        <item x="929"/>
        <item x="657"/>
        <item x="186"/>
        <item x="534"/>
        <item x="869"/>
        <item x="146"/>
        <item x="31"/>
        <item x="778"/>
        <item x="856"/>
        <item x="445"/>
        <item x="258"/>
        <item x="607"/>
        <item x="256"/>
        <item x="255"/>
        <item x="502"/>
        <item x="36"/>
        <item x="512"/>
        <item x="441"/>
        <item x="580"/>
        <item x="844"/>
        <item x="937"/>
        <item x="751"/>
        <item x="415"/>
        <item x="700"/>
        <item x="863"/>
        <item x="773"/>
        <item x="150"/>
        <item x="116"/>
        <item x="297"/>
        <item x="533"/>
        <item x="897"/>
        <item x="638"/>
        <item x="398"/>
        <item x="52"/>
        <item x="761"/>
        <item x="530"/>
        <item x="602"/>
        <item x="134"/>
        <item x="840"/>
        <item x="1"/>
        <item x="903"/>
        <item x="95"/>
        <item x="550"/>
        <item x="304"/>
        <item x="564"/>
        <item x="97"/>
        <item x="891"/>
        <item x="164"/>
        <item x="13"/>
        <item x="109"/>
        <item x="640"/>
        <item x="878"/>
        <item x="581"/>
        <item x="343"/>
        <item x="728"/>
        <item x="786"/>
        <item x="900"/>
        <item x="114"/>
        <item x="357"/>
        <item x="935"/>
        <item x="53"/>
        <item x="63"/>
        <item x="275"/>
        <item x="386"/>
        <item x="858"/>
        <item x="209"/>
        <item x="3"/>
        <item x="887"/>
        <item x="39"/>
        <item x="330"/>
        <item x="460"/>
        <item x="331"/>
        <item x="24"/>
        <item x="912"/>
        <item x="208"/>
        <item x="854"/>
        <item x="288"/>
        <item x="648"/>
        <item x="12"/>
        <item x="89"/>
        <item x="201"/>
        <item x="523"/>
        <item x="555"/>
        <item x="508"/>
        <item x="325"/>
        <item x="174"/>
        <item x="298"/>
        <item x="610"/>
        <item x="938"/>
        <item x="852"/>
        <item x="569"/>
        <item x="738"/>
        <item x="197"/>
        <item x="283"/>
        <item x="561"/>
        <item x="138"/>
        <item x="149"/>
        <item x="725"/>
        <item x="812"/>
        <item x="105"/>
        <item x="860"/>
        <item x="424"/>
        <item x="315"/>
        <item x="382"/>
        <item x="916"/>
        <item x="333"/>
        <item x="527"/>
        <item x="196"/>
        <item x="287"/>
        <item x="808"/>
        <item x="301"/>
        <item x="576"/>
        <item x="729"/>
        <item x="145"/>
        <item x="694"/>
        <item x="215"/>
        <item x="620"/>
        <item x="85"/>
        <item x="239"/>
        <item x="703"/>
        <item x="506"/>
        <item x="123"/>
        <item x="907"/>
        <item x="842"/>
        <item x="199"/>
        <item x="406"/>
        <item x="227"/>
        <item x="548"/>
        <item x="841"/>
        <item x="98"/>
        <item x="759"/>
        <item x="246"/>
        <item x="167"/>
        <item x="57"/>
        <item x="732"/>
        <item x="220"/>
        <item x="21"/>
        <item x="172"/>
        <item x="804"/>
        <item x="419"/>
        <item x="848"/>
        <item x="91"/>
        <item x="650"/>
        <item x="734"/>
        <item x="566"/>
        <item x="102"/>
        <item x="414"/>
        <item x="430"/>
        <item x="372"/>
        <item x="10"/>
        <item x="917"/>
        <item x="583"/>
        <item x="691"/>
        <item x="754"/>
        <item x="867"/>
        <item x="110"/>
        <item x="631"/>
        <item x="153"/>
        <item x="151"/>
        <item x="241"/>
        <item x="323"/>
        <item x="23"/>
        <item x="163"/>
        <item x="733"/>
        <item x="818"/>
        <item x="293"/>
        <item x="552"/>
        <item x="495"/>
        <item x="706"/>
        <item x="397"/>
        <item x="477"/>
        <item x="519"/>
        <item x="704"/>
        <item x="697"/>
        <item x="322"/>
        <item x="809"/>
        <item x="690"/>
        <item x="124"/>
        <item x="668"/>
        <item x="672"/>
        <item x="305"/>
        <item x="5"/>
        <item x="360"/>
        <item x="350"/>
        <item x="473"/>
        <item x="549"/>
        <item x="399"/>
        <item x="614"/>
        <item x="347"/>
        <item x="66"/>
        <item x="280"/>
        <item x="212"/>
        <item x="606"/>
        <item x="760"/>
        <item x="133"/>
        <item x="411"/>
        <item x="660"/>
        <item x="210"/>
        <item x="471"/>
        <item x="264"/>
        <item x="18"/>
        <item x="905"/>
        <item x="224"/>
        <item x="235"/>
        <item x="250"/>
        <item x="520"/>
        <item x="675"/>
        <item x="628"/>
        <item x="292"/>
        <item x="439"/>
        <item x="653"/>
        <item x="941"/>
        <item x="822"/>
        <item x="820"/>
        <item x="49"/>
        <item x="455"/>
        <item x="154"/>
        <item x="806"/>
        <item x="55"/>
        <item x="165"/>
        <item x="911"/>
        <item x="695"/>
        <item x="560"/>
        <item x="801"/>
        <item x="670"/>
        <item x="652"/>
        <item x="342"/>
        <item x="655"/>
        <item x="769"/>
        <item x="422"/>
        <item x="9"/>
        <item x="644"/>
        <item x="807"/>
        <item x="776"/>
        <item x="927"/>
        <item x="913"/>
        <item x="739"/>
        <item x="605"/>
        <item x="766"/>
        <item x="515"/>
        <item x="84"/>
        <item x="62"/>
        <item x="16"/>
        <item x="396"/>
        <item x="663"/>
        <item x="178"/>
        <item x="346"/>
        <item x="862"/>
        <item x="336"/>
        <item x="829"/>
        <item x="538"/>
        <item x="132"/>
        <item x="882"/>
        <item x="358"/>
        <item x="413"/>
        <item x="857"/>
        <item x="306"/>
        <item x="524"/>
        <item x="509"/>
        <item x="507"/>
        <item x="544"/>
        <item x="349"/>
        <item x="203"/>
        <item x="176"/>
        <item x="378"/>
        <item x="501"/>
        <item x="565"/>
        <item x="603"/>
        <item x="492"/>
        <item x="864"/>
        <item x="726"/>
        <item x="101"/>
        <item x="130"/>
        <item x="476"/>
        <item x="254"/>
        <item x="77"/>
        <item x="324"/>
        <item x="486"/>
        <item x="772"/>
        <item x="796"/>
        <item x="850"/>
        <item x="597"/>
        <item x="136"/>
        <item x="321"/>
        <item x="366"/>
        <item x="4"/>
        <item x="843"/>
        <item x="750"/>
        <item x="740"/>
        <item x="367"/>
        <item x="892"/>
        <item x="497"/>
        <item x="545"/>
        <item x="193"/>
        <item x="96"/>
        <item x="932"/>
        <item x="218"/>
        <item x="14"/>
        <item x="656"/>
        <item x="313"/>
        <item x="207"/>
        <item x="214"/>
        <item x="893"/>
        <item x="493"/>
        <item x="348"/>
        <item x="43"/>
        <item x="634"/>
        <item x="126"/>
        <item x="525"/>
        <item x="529"/>
        <item x="839"/>
        <item x="444"/>
        <item x="575"/>
        <item x="464"/>
        <item x="590"/>
        <item x="247"/>
        <item x="205"/>
        <item x="679"/>
        <item x="469"/>
        <item x="478"/>
        <item x="677"/>
        <item x="641"/>
        <item x="206"/>
        <item x="449"/>
        <item x="823"/>
        <item x="537"/>
        <item x="678"/>
        <item x="17"/>
        <item x="615"/>
        <item x="617"/>
        <item x="393"/>
        <item x="183"/>
        <item x="182"/>
        <item x="267"/>
        <item x="169"/>
        <item x="774"/>
        <item x="457"/>
        <item x="803"/>
        <item x="586"/>
        <item x="263"/>
        <item x="361"/>
        <item x="401"/>
        <item x="68"/>
        <item x="752"/>
        <item x="376"/>
        <item x="431"/>
        <item x="417"/>
        <item x="777"/>
        <item x="654"/>
        <item x="885"/>
        <item x="427"/>
        <item x="463"/>
        <item x="922"/>
        <item x="676"/>
        <item x="65"/>
        <item x="682"/>
        <item x="696"/>
        <item x="257"/>
        <item x="861"/>
        <item x="302"/>
        <item x="470"/>
        <item x="612"/>
        <item x="373"/>
        <item x="599"/>
        <item x="115"/>
        <item x="642"/>
        <item x="229"/>
        <item x="404"/>
        <item x="291"/>
        <item x="791"/>
        <item x="121"/>
        <item x="521"/>
        <item x="384"/>
        <item x="814"/>
        <item x="472"/>
        <item x="289"/>
        <item x="505"/>
        <item x="762"/>
        <item x="195"/>
        <item x="790"/>
        <item x="2"/>
        <item x="222"/>
        <item x="458"/>
        <item x="428"/>
        <item x="189"/>
        <item x="724"/>
        <item x="166"/>
        <item x="381"/>
        <item x="736"/>
        <item x="488"/>
        <item x="144"/>
        <item x="876"/>
        <item x="34"/>
        <item x="272"/>
        <item x="22"/>
        <item x="362"/>
        <item x="723"/>
        <item x="383"/>
        <item x="314"/>
        <item x="432"/>
        <item x="433"/>
        <item x="328"/>
        <item x="402"/>
        <item x="479"/>
        <item x="44"/>
        <item x="277"/>
        <item x="745"/>
        <item x="111"/>
        <item x="243"/>
        <item x="73"/>
        <item x="688"/>
        <item x="42"/>
        <item x="890"/>
        <item x="177"/>
        <item x="626"/>
        <item x="265"/>
        <item x="368"/>
        <item x="270"/>
        <item x="870"/>
        <item x="389"/>
        <item x="440"/>
        <item x="709"/>
        <item x="338"/>
        <item x="489"/>
        <item x="886"/>
        <item x="188"/>
        <item x="274"/>
        <item x="334"/>
        <item x="787"/>
        <item x="608"/>
        <item x="873"/>
        <item x="252"/>
        <item x="340"/>
        <item x="148"/>
        <item x="835"/>
        <item x="800"/>
        <item x="633"/>
        <item x="312"/>
        <item x="450"/>
        <item x="698"/>
        <item x="815"/>
        <item x="559"/>
        <item x="910"/>
        <item x="86"/>
        <item x="915"/>
        <item x="175"/>
        <item x="335"/>
        <item x="727"/>
        <item x="28"/>
        <item x="122"/>
        <item x="613"/>
        <item x="600"/>
        <item x="127"/>
        <item x="629"/>
        <item x="643"/>
        <item x="75"/>
        <item x="722"/>
        <item x="934"/>
        <item x="41"/>
        <item x="447"/>
        <item x="496"/>
        <item x="129"/>
        <item x="421"/>
        <item x="596"/>
        <item x="248"/>
        <item x="535"/>
        <item x="453"/>
        <item x="416"/>
        <item x="56"/>
        <item x="637"/>
        <item x="211"/>
        <item x="767"/>
        <item x="674"/>
        <item x="232"/>
        <item x="251"/>
        <item x="443"/>
        <item x="329"/>
        <item x="619"/>
        <item x="764"/>
        <item x="27"/>
        <item x="409"/>
        <item x="352"/>
        <item x="152"/>
        <item x="749"/>
        <item x="233"/>
        <item x="192"/>
        <item x="108"/>
        <item x="311"/>
        <item x="746"/>
        <item x="370"/>
        <item x="278"/>
        <item x="137"/>
        <item x="59"/>
        <item x="627"/>
        <item x="711"/>
        <item x="279"/>
        <item x="563"/>
        <item x="693"/>
        <item x="237"/>
        <item x="35"/>
        <item x="296"/>
        <item x="579"/>
        <item x="400"/>
        <item x="40"/>
        <item x="38"/>
        <item x="452"/>
        <item x="707"/>
        <item x="72"/>
        <item x="851"/>
        <item x="474"/>
        <item x="904"/>
        <item x="837"/>
        <item x="88"/>
        <item x="859"/>
        <item x="320"/>
        <item x="179"/>
        <item x="359"/>
        <item x="131"/>
        <item x="592"/>
        <item x="919"/>
        <item x="295"/>
        <item x="92"/>
        <item x="100"/>
        <item x="119"/>
        <item x="513"/>
        <item x="238"/>
        <item x="589"/>
        <item x="810"/>
        <item x="618"/>
        <item x="143"/>
        <item x="377"/>
        <item x="713"/>
        <item x="621"/>
        <item x="574"/>
        <item x="104"/>
        <item x="236"/>
        <item x="82"/>
        <item x="487"/>
        <item x="407"/>
        <item x="157"/>
        <item x="930"/>
        <item x="194"/>
        <item x="825"/>
        <item x="541"/>
        <item x="625"/>
        <item x="874"/>
        <item x="531"/>
        <item x="819"/>
        <item x="543"/>
        <item x="354"/>
        <item x="931"/>
        <item x="468"/>
        <item x="282"/>
        <item x="140"/>
        <item x="356"/>
        <item x="81"/>
        <item x="448"/>
        <item x="281"/>
        <item x="539"/>
        <item x="828"/>
        <item x="117"/>
        <item x="363"/>
        <item x="783"/>
        <item x="388"/>
        <item x="540"/>
        <item x="219"/>
        <item x="742"/>
        <item x="665"/>
        <item x="551"/>
        <item x="517"/>
        <item x="317"/>
        <item x="162"/>
        <item x="64"/>
        <item x="868"/>
        <item x="58"/>
        <item x="79"/>
        <item x="901"/>
        <item x="80"/>
        <item x="781"/>
        <item x="845"/>
        <item x="765"/>
        <item x="423"/>
        <item x="553"/>
        <item x="824"/>
        <item x="244"/>
        <item x="526"/>
        <item x="877"/>
        <item x="687"/>
        <item x="490"/>
        <item x="748"/>
        <item x="883"/>
        <item x="339"/>
        <item x="11"/>
        <item x="795"/>
        <item x="187"/>
        <item x="593"/>
        <item x="285"/>
        <item x="570"/>
        <item x="120"/>
        <item x="716"/>
        <item x="811"/>
        <item x="571"/>
        <item x="294"/>
        <item x="284"/>
        <item x="578"/>
        <item x="392"/>
        <item x="276"/>
        <item x="683"/>
        <item x="536"/>
        <item x="821"/>
        <item x="480"/>
        <item x="567"/>
        <item x="139"/>
        <item x="249"/>
        <item x="74"/>
        <item x="147"/>
        <item x="168"/>
        <item x="454"/>
        <item x="429"/>
        <item x="442"/>
        <item x="595"/>
        <item x="107"/>
        <item x="446"/>
        <item x="847"/>
        <item x="710"/>
        <item x="771"/>
        <item x="510"/>
        <item x="702"/>
        <item x="914"/>
        <item x="466"/>
        <item x="753"/>
        <item x="735"/>
        <item x="387"/>
        <item x="226"/>
        <item x="744"/>
        <item x="48"/>
        <item x="659"/>
        <item x="498"/>
        <item x="355"/>
        <item x="582"/>
        <item x="142"/>
        <item x="568"/>
        <item x="30"/>
        <item x="879"/>
        <item x="792"/>
        <item x="636"/>
        <item x="899"/>
        <item x="20"/>
        <item x="106"/>
        <item x="881"/>
        <item x="266"/>
        <item x="813"/>
        <item x="426"/>
        <item x="467"/>
        <item x="516"/>
        <item x="391"/>
        <item x="717"/>
        <item x="299"/>
        <item x="161"/>
        <item x="47"/>
        <item x="731"/>
        <item x="715"/>
        <item x="303"/>
        <item x="300"/>
        <item x="880"/>
        <item x="601"/>
        <item x="181"/>
        <item x="221"/>
        <item x="664"/>
        <item x="680"/>
        <item x="849"/>
        <item x="204"/>
        <item x="491"/>
        <item x="273"/>
        <item x="379"/>
        <item x="925"/>
        <item x="875"/>
        <item x="70"/>
        <item x="866"/>
        <item x="113"/>
        <item x="522"/>
        <item x="798"/>
        <item x="838"/>
        <item x="485"/>
        <item x="228"/>
        <item x="156"/>
        <item x="572"/>
        <item x="76"/>
        <item x="832"/>
        <item x="345"/>
        <item x="562"/>
        <item x="720"/>
        <item x="125"/>
        <item x="591"/>
        <item x="573"/>
        <item x="667"/>
        <item x="623"/>
        <item x="906"/>
        <item x="171"/>
        <item x="78"/>
        <item x="7"/>
        <item x="128"/>
        <item x="353"/>
        <item x="351"/>
        <item x="365"/>
        <item x="318"/>
        <item x="245"/>
        <item x="923"/>
        <item x="588"/>
        <item x="6"/>
        <item x="936"/>
        <item x="481"/>
        <item x="61"/>
        <item x="45"/>
        <item x="262"/>
        <item x="542"/>
        <item x="462"/>
        <item x="213"/>
        <item x="836"/>
        <item x="160"/>
        <item x="408"/>
        <item x="37"/>
        <item x="685"/>
        <item x="532"/>
        <item x="556"/>
        <item x="719"/>
        <item x="158"/>
        <item x="371"/>
        <item x="920"/>
        <item x="834"/>
        <item x="528"/>
        <item x="141"/>
        <item x="190"/>
        <item x="635"/>
        <item x="135"/>
        <item x="797"/>
        <item x="483"/>
        <item x="271"/>
        <item x="770"/>
        <item x="669"/>
        <item x="584"/>
        <item x="253"/>
        <item x="425"/>
        <item x="888"/>
        <item x="436"/>
        <item x="261"/>
        <item x="926"/>
        <item x="269"/>
        <item x="184"/>
        <item x="268"/>
        <item x="651"/>
        <item x="390"/>
        <item x="546"/>
        <item x="705"/>
        <item x="307"/>
        <item x="737"/>
        <item x="779"/>
        <item x="46"/>
        <item x="699"/>
        <item x="112"/>
        <item x="921"/>
        <item x="831"/>
        <item x="630"/>
        <item x="484"/>
        <item x="611"/>
        <item x="51"/>
        <item x="118"/>
        <item x="701"/>
        <item x="405"/>
        <item x="895"/>
        <item x="19"/>
        <item x="755"/>
        <item x="385"/>
        <item x="681"/>
        <item x="894"/>
        <item x="768"/>
        <item x="788"/>
        <item x="290"/>
        <item x="99"/>
        <item x="504"/>
        <item x="395"/>
        <item x="865"/>
        <item x="8"/>
        <item x="514"/>
        <item x="503"/>
        <item x="686"/>
        <item x="758"/>
        <item x="308"/>
        <item x="90"/>
        <item x="805"/>
        <item x="649"/>
        <item x="826"/>
        <item x="217"/>
        <item x="692"/>
        <item x="756"/>
        <item x="374"/>
        <item x="647"/>
        <item x="451"/>
        <item x="103"/>
        <item x="594"/>
        <item x="624"/>
        <item x="32"/>
        <item x="853"/>
        <item x="757"/>
        <item x="598"/>
        <item x="185"/>
        <item x="785"/>
        <item x="326"/>
        <item x="547"/>
        <item x="511"/>
        <item x="632"/>
        <item x="499"/>
        <item x="242"/>
        <item x="666"/>
        <item x="671"/>
        <item x="410"/>
        <item x="482"/>
        <item x="689"/>
        <item x="616"/>
        <item x="337"/>
        <item x="231"/>
        <item x="234"/>
        <item x="50"/>
        <item x="33"/>
        <item x="435"/>
        <item x="225"/>
        <item x="327"/>
        <item x="494"/>
        <item x="855"/>
        <item x="29"/>
        <item x="782"/>
        <item x="817"/>
        <item x="240"/>
        <item x="661"/>
        <item x="465"/>
        <item x="191"/>
        <item x="87"/>
        <item x="721"/>
        <item x="15"/>
        <item x="198"/>
        <item x="639"/>
        <item x="375"/>
        <item x="884"/>
        <item x="585"/>
        <item x="673"/>
        <item x="714"/>
        <item x="260"/>
        <item x="93"/>
        <item x="747"/>
        <item x="684"/>
        <item x="309"/>
        <item x="459"/>
        <item x="0"/>
        <item x="316"/>
        <item x="412"/>
        <item x="170"/>
        <item x="475"/>
        <item x="918"/>
        <item x="830"/>
        <item x="310"/>
        <item x="871"/>
        <item x="202"/>
        <item x="928"/>
        <item x="180"/>
        <item x="940"/>
        <item x="872"/>
        <item x="743"/>
        <item x="456"/>
        <item x="155"/>
        <item x="662"/>
        <item x="730"/>
        <item x="25"/>
        <item x="741"/>
        <item x="604"/>
        <item x="933"/>
        <item x="789"/>
        <item x="518"/>
        <item x="554"/>
        <item x="83"/>
        <item x="319"/>
        <item x="939"/>
        <item x="816"/>
        <item x="712"/>
        <item x="369"/>
        <item x="94"/>
        <item x="846"/>
        <item x="780"/>
        <item x="69"/>
        <item x="622"/>
        <item x="558"/>
        <item x="230"/>
        <item x="71"/>
        <item x="793"/>
        <item x="645"/>
        <item x="658"/>
        <item x="708"/>
        <item x="286"/>
        <item x="799"/>
        <item x="902"/>
        <item x="364"/>
        <item x="763"/>
        <item x="216"/>
        <item x="437"/>
        <item x="833"/>
        <item x="420"/>
        <item x="909"/>
        <item x="223"/>
        <item x="557"/>
        <item t="default"/>
      </items>
    </pivotField>
    <pivotField showAll="0"/>
    <pivotField showAll="0">
      <items count="18">
        <item x="7"/>
        <item x="1"/>
        <item x="15"/>
        <item x="12"/>
        <item x="3"/>
        <item x="13"/>
        <item x="8"/>
        <item x="9"/>
        <item x="10"/>
        <item x="4"/>
        <item x="2"/>
        <item x="11"/>
        <item x="6"/>
        <item x="5"/>
        <item x="16"/>
        <item x="0"/>
        <item x="14"/>
        <item t="default"/>
      </items>
    </pivotField>
    <pivotField showAll="0">
      <items count="3">
        <item x="0"/>
        <item x="1"/>
        <item t="default"/>
      </items>
    </pivotField>
    <pivotField showAll="0">
      <items count="4">
        <item x="2"/>
        <item x="0"/>
        <item x="1"/>
        <item t="default"/>
      </items>
    </pivotField>
    <pivotField showAll="0"/>
    <pivotField showAll="0"/>
    <pivotField axis="axisRow" showAll="0">
      <items count="13">
        <item x="1"/>
        <item x="3"/>
        <item x="5"/>
        <item x="4"/>
        <item x="9"/>
        <item x="2"/>
        <item x="11"/>
        <item x="8"/>
        <item x="10"/>
        <item x="6"/>
        <item x="7"/>
        <item x="0"/>
        <item t="default"/>
      </items>
    </pivotField>
    <pivotField showAll="0"/>
    <pivotField showAll="0"/>
    <pivotField showAll="0"/>
    <pivotField showAll="0">
      <items count="21">
        <item x="8"/>
        <item x="13"/>
        <item x="10"/>
        <item x="17"/>
        <item x="5"/>
        <item x="3"/>
        <item x="1"/>
        <item x="16"/>
        <item x="15"/>
        <item x="4"/>
        <item x="19"/>
        <item x="12"/>
        <item x="9"/>
        <item x="0"/>
        <item x="11"/>
        <item x="18"/>
        <item x="7"/>
        <item x="2"/>
        <item x="6"/>
        <item x="14"/>
        <item t="default"/>
      </items>
    </pivotField>
    <pivotField showAll="0">
      <items count="11">
        <item x="3"/>
        <item x="9"/>
        <item x="1"/>
        <item x="0"/>
        <item x="8"/>
        <item x="7"/>
        <item x="5"/>
        <item x="6"/>
        <item x="2"/>
        <item x="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13">
    <i>
      <x/>
    </i>
    <i>
      <x v="1"/>
    </i>
    <i>
      <x v="2"/>
    </i>
    <i>
      <x v="3"/>
    </i>
    <i>
      <x v="4"/>
    </i>
    <i>
      <x v="5"/>
    </i>
    <i>
      <x v="6"/>
    </i>
    <i>
      <x v="7"/>
    </i>
    <i>
      <x v="8"/>
    </i>
    <i>
      <x v="9"/>
    </i>
    <i>
      <x v="10"/>
    </i>
    <i>
      <x v="11"/>
    </i>
    <i t="grand">
      <x/>
    </i>
  </rowItems>
  <colItems count="1">
    <i/>
  </colItems>
  <dataFields count="1">
    <dataField name="Count of booking_id" fld="0" subtotal="count" baseField="18" baseItem="1"/>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6" name="show_date">
      <autoFilter ref="A1">
        <filterColumn colId="0">
          <customFilters and="1">
            <customFilter operator="greaterThanOrEqual" val="46174"/>
            <customFilter operator="lessThanOrEqual" val="4620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179D01-6773-4F79-9F53-8DC1418354C8}" name="PivotTable7"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1:B92" firstHeaderRow="1" firstDataRow="1" firstDataCol="1"/>
  <pivotFields count="19">
    <pivotField showAll="0"/>
    <pivotField showAll="0"/>
    <pivotField showAll="0"/>
    <pivotField showAll="0"/>
    <pivotField numFmtId="164" showAll="0">
      <items count="943">
        <item x="775"/>
        <item x="784"/>
        <item x="60"/>
        <item x="889"/>
        <item x="341"/>
        <item x="908"/>
        <item x="54"/>
        <item x="159"/>
        <item x="461"/>
        <item x="259"/>
        <item x="802"/>
        <item x="394"/>
        <item x="344"/>
        <item x="438"/>
        <item x="924"/>
        <item x="718"/>
        <item x="609"/>
        <item x="332"/>
        <item x="827"/>
        <item x="434"/>
        <item x="500"/>
        <item x="173"/>
        <item x="577"/>
        <item x="380"/>
        <item x="898"/>
        <item x="26"/>
        <item x="418"/>
        <item x="794"/>
        <item x="896"/>
        <item x="403"/>
        <item x="200"/>
        <item x="646"/>
        <item x="587"/>
        <item x="67"/>
        <item x="929"/>
        <item x="657"/>
        <item x="186"/>
        <item x="534"/>
        <item x="869"/>
        <item x="146"/>
        <item x="31"/>
        <item x="778"/>
        <item x="856"/>
        <item x="445"/>
        <item x="258"/>
        <item x="607"/>
        <item x="256"/>
        <item x="255"/>
        <item x="502"/>
        <item x="36"/>
        <item x="512"/>
        <item x="441"/>
        <item x="580"/>
        <item x="844"/>
        <item x="937"/>
        <item x="751"/>
        <item x="415"/>
        <item x="700"/>
        <item x="863"/>
        <item x="773"/>
        <item x="150"/>
        <item x="116"/>
        <item x="297"/>
        <item x="533"/>
        <item x="897"/>
        <item x="638"/>
        <item x="398"/>
        <item x="52"/>
        <item x="761"/>
        <item x="530"/>
        <item x="602"/>
        <item x="134"/>
        <item x="840"/>
        <item x="1"/>
        <item x="903"/>
        <item x="95"/>
        <item x="550"/>
        <item x="304"/>
        <item x="564"/>
        <item x="97"/>
        <item x="891"/>
        <item x="164"/>
        <item x="13"/>
        <item x="109"/>
        <item x="640"/>
        <item x="878"/>
        <item x="581"/>
        <item x="343"/>
        <item x="728"/>
        <item x="786"/>
        <item x="900"/>
        <item x="114"/>
        <item x="357"/>
        <item x="935"/>
        <item x="53"/>
        <item x="63"/>
        <item x="275"/>
        <item x="386"/>
        <item x="858"/>
        <item x="209"/>
        <item x="3"/>
        <item x="887"/>
        <item x="39"/>
        <item x="330"/>
        <item x="460"/>
        <item x="331"/>
        <item x="24"/>
        <item x="912"/>
        <item x="208"/>
        <item x="854"/>
        <item x="288"/>
        <item x="648"/>
        <item x="12"/>
        <item x="89"/>
        <item x="201"/>
        <item x="523"/>
        <item x="555"/>
        <item x="508"/>
        <item x="325"/>
        <item x="174"/>
        <item x="298"/>
        <item x="610"/>
        <item x="938"/>
        <item x="852"/>
        <item x="569"/>
        <item x="738"/>
        <item x="197"/>
        <item x="283"/>
        <item x="561"/>
        <item x="138"/>
        <item x="149"/>
        <item x="725"/>
        <item x="812"/>
        <item x="105"/>
        <item x="860"/>
        <item x="424"/>
        <item x="315"/>
        <item x="382"/>
        <item x="916"/>
        <item x="333"/>
        <item x="527"/>
        <item x="196"/>
        <item x="287"/>
        <item x="808"/>
        <item x="301"/>
        <item x="576"/>
        <item x="729"/>
        <item x="145"/>
        <item x="694"/>
        <item x="215"/>
        <item x="620"/>
        <item x="85"/>
        <item x="239"/>
        <item x="703"/>
        <item x="506"/>
        <item x="123"/>
        <item x="907"/>
        <item x="842"/>
        <item x="199"/>
        <item x="406"/>
        <item x="227"/>
        <item x="548"/>
        <item x="841"/>
        <item x="98"/>
        <item x="759"/>
        <item x="246"/>
        <item x="167"/>
        <item x="57"/>
        <item x="732"/>
        <item x="220"/>
        <item x="21"/>
        <item x="172"/>
        <item x="804"/>
        <item x="419"/>
        <item x="848"/>
        <item x="91"/>
        <item x="650"/>
        <item x="734"/>
        <item x="566"/>
        <item x="102"/>
        <item x="414"/>
        <item x="430"/>
        <item x="372"/>
        <item x="10"/>
        <item x="917"/>
        <item x="583"/>
        <item x="691"/>
        <item x="754"/>
        <item x="867"/>
        <item x="110"/>
        <item x="631"/>
        <item x="153"/>
        <item x="151"/>
        <item x="241"/>
        <item x="323"/>
        <item x="23"/>
        <item x="163"/>
        <item x="733"/>
        <item x="818"/>
        <item x="293"/>
        <item x="552"/>
        <item x="495"/>
        <item x="706"/>
        <item x="397"/>
        <item x="477"/>
        <item x="519"/>
        <item x="704"/>
        <item x="697"/>
        <item x="322"/>
        <item x="809"/>
        <item x="690"/>
        <item x="124"/>
        <item x="668"/>
        <item x="672"/>
        <item x="305"/>
        <item x="5"/>
        <item x="360"/>
        <item x="350"/>
        <item x="473"/>
        <item x="549"/>
        <item x="399"/>
        <item x="614"/>
        <item x="347"/>
        <item x="66"/>
        <item x="280"/>
        <item x="212"/>
        <item x="606"/>
        <item x="760"/>
        <item x="133"/>
        <item x="411"/>
        <item x="660"/>
        <item x="210"/>
        <item x="471"/>
        <item x="264"/>
        <item x="18"/>
        <item x="905"/>
        <item x="224"/>
        <item x="235"/>
        <item x="250"/>
        <item x="520"/>
        <item x="675"/>
        <item x="628"/>
        <item x="292"/>
        <item x="439"/>
        <item x="653"/>
        <item x="941"/>
        <item x="822"/>
        <item x="820"/>
        <item x="49"/>
        <item x="455"/>
        <item x="154"/>
        <item x="806"/>
        <item x="55"/>
        <item x="165"/>
        <item x="911"/>
        <item x="695"/>
        <item x="560"/>
        <item x="801"/>
        <item x="670"/>
        <item x="652"/>
        <item x="342"/>
        <item x="655"/>
        <item x="769"/>
        <item x="422"/>
        <item x="9"/>
        <item x="644"/>
        <item x="807"/>
        <item x="776"/>
        <item x="927"/>
        <item x="913"/>
        <item x="739"/>
        <item x="605"/>
        <item x="766"/>
        <item x="515"/>
        <item x="84"/>
        <item x="62"/>
        <item x="16"/>
        <item x="396"/>
        <item x="663"/>
        <item x="178"/>
        <item x="346"/>
        <item x="862"/>
        <item x="336"/>
        <item x="829"/>
        <item x="538"/>
        <item x="132"/>
        <item x="882"/>
        <item x="358"/>
        <item x="413"/>
        <item x="857"/>
        <item x="306"/>
        <item x="524"/>
        <item x="509"/>
        <item x="507"/>
        <item x="544"/>
        <item x="349"/>
        <item x="203"/>
        <item x="176"/>
        <item x="378"/>
        <item x="501"/>
        <item x="565"/>
        <item x="603"/>
        <item x="492"/>
        <item x="864"/>
        <item x="726"/>
        <item x="101"/>
        <item x="130"/>
        <item x="476"/>
        <item x="254"/>
        <item x="77"/>
        <item x="324"/>
        <item x="486"/>
        <item x="772"/>
        <item x="796"/>
        <item x="850"/>
        <item x="597"/>
        <item x="136"/>
        <item x="321"/>
        <item x="366"/>
        <item x="4"/>
        <item x="843"/>
        <item x="750"/>
        <item x="740"/>
        <item x="367"/>
        <item x="892"/>
        <item x="497"/>
        <item x="545"/>
        <item x="193"/>
        <item x="96"/>
        <item x="932"/>
        <item x="218"/>
        <item x="14"/>
        <item x="656"/>
        <item x="313"/>
        <item x="207"/>
        <item x="214"/>
        <item x="893"/>
        <item x="493"/>
        <item x="348"/>
        <item x="43"/>
        <item x="634"/>
        <item x="126"/>
        <item x="525"/>
        <item x="529"/>
        <item x="839"/>
        <item x="444"/>
        <item x="575"/>
        <item x="464"/>
        <item x="590"/>
        <item x="247"/>
        <item x="205"/>
        <item x="679"/>
        <item x="469"/>
        <item x="478"/>
        <item x="677"/>
        <item x="641"/>
        <item x="206"/>
        <item x="449"/>
        <item x="823"/>
        <item x="537"/>
        <item x="678"/>
        <item x="17"/>
        <item x="615"/>
        <item x="617"/>
        <item x="393"/>
        <item x="183"/>
        <item x="182"/>
        <item x="267"/>
        <item x="169"/>
        <item x="774"/>
        <item x="457"/>
        <item x="803"/>
        <item x="586"/>
        <item x="263"/>
        <item x="361"/>
        <item x="401"/>
        <item x="68"/>
        <item x="752"/>
        <item x="376"/>
        <item x="431"/>
        <item x="417"/>
        <item x="777"/>
        <item x="654"/>
        <item x="885"/>
        <item x="427"/>
        <item x="463"/>
        <item x="922"/>
        <item x="676"/>
        <item x="65"/>
        <item x="682"/>
        <item x="696"/>
        <item x="257"/>
        <item x="861"/>
        <item x="302"/>
        <item x="470"/>
        <item x="612"/>
        <item x="373"/>
        <item x="599"/>
        <item x="115"/>
        <item x="642"/>
        <item x="229"/>
        <item x="404"/>
        <item x="291"/>
        <item x="791"/>
        <item x="121"/>
        <item x="521"/>
        <item x="384"/>
        <item x="814"/>
        <item x="472"/>
        <item x="289"/>
        <item x="505"/>
        <item x="762"/>
        <item x="195"/>
        <item x="790"/>
        <item x="2"/>
        <item x="222"/>
        <item x="458"/>
        <item x="428"/>
        <item x="189"/>
        <item x="724"/>
        <item x="166"/>
        <item x="381"/>
        <item x="736"/>
        <item x="488"/>
        <item x="144"/>
        <item x="876"/>
        <item x="34"/>
        <item x="272"/>
        <item x="22"/>
        <item x="362"/>
        <item x="723"/>
        <item x="383"/>
        <item x="314"/>
        <item x="432"/>
        <item x="433"/>
        <item x="328"/>
        <item x="402"/>
        <item x="479"/>
        <item x="44"/>
        <item x="277"/>
        <item x="745"/>
        <item x="111"/>
        <item x="243"/>
        <item x="73"/>
        <item x="688"/>
        <item x="42"/>
        <item x="890"/>
        <item x="177"/>
        <item x="626"/>
        <item x="265"/>
        <item x="368"/>
        <item x="270"/>
        <item x="870"/>
        <item x="389"/>
        <item x="440"/>
        <item x="709"/>
        <item x="338"/>
        <item x="489"/>
        <item x="886"/>
        <item x="188"/>
        <item x="274"/>
        <item x="334"/>
        <item x="787"/>
        <item x="608"/>
        <item x="873"/>
        <item x="252"/>
        <item x="340"/>
        <item x="148"/>
        <item x="835"/>
        <item x="800"/>
        <item x="633"/>
        <item x="312"/>
        <item x="450"/>
        <item x="698"/>
        <item x="815"/>
        <item x="559"/>
        <item x="910"/>
        <item x="86"/>
        <item x="915"/>
        <item x="175"/>
        <item x="335"/>
        <item x="727"/>
        <item x="28"/>
        <item x="122"/>
        <item x="613"/>
        <item x="600"/>
        <item x="127"/>
        <item x="629"/>
        <item x="643"/>
        <item x="75"/>
        <item x="722"/>
        <item x="934"/>
        <item x="41"/>
        <item x="447"/>
        <item x="496"/>
        <item x="129"/>
        <item x="421"/>
        <item x="596"/>
        <item x="248"/>
        <item x="535"/>
        <item x="453"/>
        <item x="416"/>
        <item x="56"/>
        <item x="637"/>
        <item x="211"/>
        <item x="767"/>
        <item x="674"/>
        <item x="232"/>
        <item x="251"/>
        <item x="443"/>
        <item x="329"/>
        <item x="619"/>
        <item x="764"/>
        <item x="27"/>
        <item x="409"/>
        <item x="352"/>
        <item x="152"/>
        <item x="749"/>
        <item x="233"/>
        <item x="192"/>
        <item x="108"/>
        <item x="311"/>
        <item x="746"/>
        <item x="370"/>
        <item x="278"/>
        <item x="137"/>
        <item x="59"/>
        <item x="627"/>
        <item x="711"/>
        <item x="279"/>
        <item x="563"/>
        <item x="693"/>
        <item x="237"/>
        <item x="35"/>
        <item x="296"/>
        <item x="579"/>
        <item x="400"/>
        <item x="40"/>
        <item x="38"/>
        <item x="452"/>
        <item x="707"/>
        <item x="72"/>
        <item x="851"/>
        <item x="474"/>
        <item x="904"/>
        <item x="837"/>
        <item x="88"/>
        <item x="859"/>
        <item x="320"/>
        <item x="179"/>
        <item x="359"/>
        <item x="131"/>
        <item x="592"/>
        <item x="919"/>
        <item x="295"/>
        <item x="92"/>
        <item x="100"/>
        <item x="119"/>
        <item x="513"/>
        <item x="238"/>
        <item x="589"/>
        <item x="810"/>
        <item x="618"/>
        <item x="143"/>
        <item x="377"/>
        <item x="713"/>
        <item x="621"/>
        <item x="574"/>
        <item x="104"/>
        <item x="236"/>
        <item x="82"/>
        <item x="487"/>
        <item x="407"/>
        <item x="157"/>
        <item x="930"/>
        <item x="194"/>
        <item x="825"/>
        <item x="541"/>
        <item x="625"/>
        <item x="874"/>
        <item x="531"/>
        <item x="819"/>
        <item x="543"/>
        <item x="354"/>
        <item x="931"/>
        <item x="468"/>
        <item x="282"/>
        <item x="140"/>
        <item x="356"/>
        <item x="81"/>
        <item x="448"/>
        <item x="281"/>
        <item x="539"/>
        <item x="828"/>
        <item x="117"/>
        <item x="363"/>
        <item x="783"/>
        <item x="388"/>
        <item x="540"/>
        <item x="219"/>
        <item x="742"/>
        <item x="665"/>
        <item x="551"/>
        <item x="517"/>
        <item x="317"/>
        <item x="162"/>
        <item x="64"/>
        <item x="868"/>
        <item x="58"/>
        <item x="79"/>
        <item x="901"/>
        <item x="80"/>
        <item x="781"/>
        <item x="845"/>
        <item x="765"/>
        <item x="423"/>
        <item x="553"/>
        <item x="824"/>
        <item x="244"/>
        <item x="526"/>
        <item x="877"/>
        <item x="687"/>
        <item x="490"/>
        <item x="748"/>
        <item x="883"/>
        <item x="339"/>
        <item x="11"/>
        <item x="795"/>
        <item x="187"/>
        <item x="593"/>
        <item x="285"/>
        <item x="570"/>
        <item x="120"/>
        <item x="716"/>
        <item x="811"/>
        <item x="571"/>
        <item x="294"/>
        <item x="284"/>
        <item x="578"/>
        <item x="392"/>
        <item x="276"/>
        <item x="683"/>
        <item x="536"/>
        <item x="821"/>
        <item x="480"/>
        <item x="567"/>
        <item x="139"/>
        <item x="249"/>
        <item x="74"/>
        <item x="147"/>
        <item x="168"/>
        <item x="454"/>
        <item x="429"/>
        <item x="442"/>
        <item x="595"/>
        <item x="107"/>
        <item x="446"/>
        <item x="847"/>
        <item x="710"/>
        <item x="771"/>
        <item x="510"/>
        <item x="702"/>
        <item x="914"/>
        <item x="466"/>
        <item x="753"/>
        <item x="735"/>
        <item x="387"/>
        <item x="226"/>
        <item x="744"/>
        <item x="48"/>
        <item x="659"/>
        <item x="498"/>
        <item x="355"/>
        <item x="582"/>
        <item x="142"/>
        <item x="568"/>
        <item x="30"/>
        <item x="879"/>
        <item x="792"/>
        <item x="636"/>
        <item x="899"/>
        <item x="20"/>
        <item x="106"/>
        <item x="881"/>
        <item x="266"/>
        <item x="813"/>
        <item x="426"/>
        <item x="467"/>
        <item x="516"/>
        <item x="391"/>
        <item x="717"/>
        <item x="299"/>
        <item x="161"/>
        <item x="47"/>
        <item x="731"/>
        <item x="715"/>
        <item x="303"/>
        <item x="300"/>
        <item x="880"/>
        <item x="601"/>
        <item x="181"/>
        <item x="221"/>
        <item x="664"/>
        <item x="680"/>
        <item x="849"/>
        <item x="204"/>
        <item x="491"/>
        <item x="273"/>
        <item x="379"/>
        <item x="925"/>
        <item x="875"/>
        <item x="70"/>
        <item x="866"/>
        <item x="113"/>
        <item x="522"/>
        <item x="798"/>
        <item x="838"/>
        <item x="485"/>
        <item x="228"/>
        <item x="156"/>
        <item x="572"/>
        <item x="76"/>
        <item x="832"/>
        <item x="345"/>
        <item x="562"/>
        <item x="720"/>
        <item x="125"/>
        <item x="591"/>
        <item x="573"/>
        <item x="667"/>
        <item x="623"/>
        <item x="906"/>
        <item x="171"/>
        <item x="78"/>
        <item x="7"/>
        <item x="128"/>
        <item x="353"/>
        <item x="351"/>
        <item x="365"/>
        <item x="318"/>
        <item x="245"/>
        <item x="923"/>
        <item x="588"/>
        <item x="6"/>
        <item x="936"/>
        <item x="481"/>
        <item x="61"/>
        <item x="45"/>
        <item x="262"/>
        <item x="542"/>
        <item x="462"/>
        <item x="213"/>
        <item x="836"/>
        <item x="160"/>
        <item x="408"/>
        <item x="37"/>
        <item x="685"/>
        <item x="532"/>
        <item x="556"/>
        <item x="719"/>
        <item x="158"/>
        <item x="371"/>
        <item x="920"/>
        <item x="834"/>
        <item x="528"/>
        <item x="141"/>
        <item x="190"/>
        <item x="635"/>
        <item x="135"/>
        <item x="797"/>
        <item x="483"/>
        <item x="271"/>
        <item x="770"/>
        <item x="669"/>
        <item x="584"/>
        <item x="253"/>
        <item x="425"/>
        <item x="888"/>
        <item x="436"/>
        <item x="261"/>
        <item x="926"/>
        <item x="269"/>
        <item x="184"/>
        <item x="268"/>
        <item x="651"/>
        <item x="390"/>
        <item x="546"/>
        <item x="705"/>
        <item x="307"/>
        <item x="737"/>
        <item x="779"/>
        <item x="46"/>
        <item x="699"/>
        <item x="112"/>
        <item x="921"/>
        <item x="831"/>
        <item x="630"/>
        <item x="484"/>
        <item x="611"/>
        <item x="51"/>
        <item x="118"/>
        <item x="701"/>
        <item x="405"/>
        <item x="895"/>
        <item x="19"/>
        <item x="755"/>
        <item x="385"/>
        <item x="681"/>
        <item x="894"/>
        <item x="768"/>
        <item x="788"/>
        <item x="290"/>
        <item x="99"/>
        <item x="504"/>
        <item x="395"/>
        <item x="865"/>
        <item x="8"/>
        <item x="514"/>
        <item x="503"/>
        <item x="686"/>
        <item x="758"/>
        <item x="308"/>
        <item x="90"/>
        <item x="805"/>
        <item x="649"/>
        <item x="826"/>
        <item x="217"/>
        <item x="692"/>
        <item x="756"/>
        <item x="374"/>
        <item x="647"/>
        <item x="451"/>
        <item x="103"/>
        <item x="594"/>
        <item x="624"/>
        <item x="32"/>
        <item x="853"/>
        <item x="757"/>
        <item x="598"/>
        <item x="185"/>
        <item x="785"/>
        <item x="326"/>
        <item x="547"/>
        <item x="511"/>
        <item x="632"/>
        <item x="499"/>
        <item x="242"/>
        <item x="666"/>
        <item x="671"/>
        <item x="410"/>
        <item x="482"/>
        <item x="689"/>
        <item x="616"/>
        <item x="337"/>
        <item x="231"/>
        <item x="234"/>
        <item x="50"/>
        <item x="33"/>
        <item x="435"/>
        <item x="225"/>
        <item x="327"/>
        <item x="494"/>
        <item x="855"/>
        <item x="29"/>
        <item x="782"/>
        <item x="817"/>
        <item x="240"/>
        <item x="661"/>
        <item x="465"/>
        <item x="191"/>
        <item x="87"/>
        <item x="721"/>
        <item x="15"/>
        <item x="198"/>
        <item x="639"/>
        <item x="375"/>
        <item x="884"/>
        <item x="585"/>
        <item x="673"/>
        <item x="714"/>
        <item x="260"/>
        <item x="93"/>
        <item x="747"/>
        <item x="684"/>
        <item x="309"/>
        <item x="459"/>
        <item x="0"/>
        <item x="316"/>
        <item x="412"/>
        <item x="170"/>
        <item x="475"/>
        <item x="918"/>
        <item x="830"/>
        <item x="310"/>
        <item x="871"/>
        <item x="202"/>
        <item x="928"/>
        <item x="180"/>
        <item x="940"/>
        <item x="872"/>
        <item x="743"/>
        <item x="456"/>
        <item x="155"/>
        <item x="662"/>
        <item x="730"/>
        <item x="25"/>
        <item x="741"/>
        <item x="604"/>
        <item x="933"/>
        <item x="789"/>
        <item x="518"/>
        <item x="554"/>
        <item x="83"/>
        <item x="319"/>
        <item x="939"/>
        <item x="816"/>
        <item x="712"/>
        <item x="369"/>
        <item x="94"/>
        <item x="846"/>
        <item x="780"/>
        <item x="69"/>
        <item x="622"/>
        <item x="558"/>
        <item x="230"/>
        <item x="71"/>
        <item x="793"/>
        <item x="645"/>
        <item x="658"/>
        <item x="708"/>
        <item x="286"/>
        <item x="799"/>
        <item x="902"/>
        <item x="364"/>
        <item x="763"/>
        <item x="216"/>
        <item x="437"/>
        <item x="833"/>
        <item x="420"/>
        <item x="909"/>
        <item x="223"/>
        <item x="557"/>
        <item t="default"/>
      </items>
    </pivotField>
    <pivotField showAll="0"/>
    <pivotField dataField="1" showAll="0">
      <items count="18">
        <item x="7"/>
        <item x="1"/>
        <item x="15"/>
        <item x="12"/>
        <item x="3"/>
        <item x="13"/>
        <item x="8"/>
        <item x="9"/>
        <item x="10"/>
        <item x="4"/>
        <item x="2"/>
        <item x="11"/>
        <item x="6"/>
        <item x="5"/>
        <item x="16"/>
        <item x="0"/>
        <item x="14"/>
        <item t="default"/>
      </items>
    </pivotField>
    <pivotField showAll="0">
      <items count="3">
        <item x="0"/>
        <item x="1"/>
        <item t="default"/>
      </items>
    </pivotField>
    <pivotField showAll="0">
      <items count="4">
        <item x="2"/>
        <item x="0"/>
        <item x="1"/>
        <item t="default"/>
      </items>
    </pivotField>
    <pivotField showAll="0"/>
    <pivotField showAll="0"/>
    <pivotField showAll="0">
      <items count="13">
        <item x="1"/>
        <item x="3"/>
        <item x="5"/>
        <item x="4"/>
        <item x="9"/>
        <item x="2"/>
        <item x="11"/>
        <item x="8"/>
        <item x="10"/>
        <item x="6"/>
        <item x="7"/>
        <item x="0"/>
        <item t="default"/>
      </items>
    </pivotField>
    <pivotField showAll="0"/>
    <pivotField showAll="0"/>
    <pivotField showAll="0"/>
    <pivotField axis="axisRow" showAll="0" sortType="descending">
      <items count="21">
        <item x="14"/>
        <item x="6"/>
        <item x="2"/>
        <item x="7"/>
        <item x="18"/>
        <item x="11"/>
        <item x="0"/>
        <item x="9"/>
        <item x="12"/>
        <item x="19"/>
        <item x="4"/>
        <item x="15"/>
        <item x="16"/>
        <item x="1"/>
        <item x="3"/>
        <item x="5"/>
        <item x="17"/>
        <item x="10"/>
        <item x="13"/>
        <item x="8"/>
        <item t="default"/>
      </items>
      <autoSortScope>
        <pivotArea dataOnly="0" outline="0" fieldPosition="0">
          <references count="1">
            <reference field="4294967294" count="1" selected="0">
              <x v="0"/>
            </reference>
          </references>
        </pivotArea>
      </autoSortScope>
    </pivotField>
    <pivotField showAll="0">
      <items count="11">
        <item x="3"/>
        <item x="9"/>
        <item x="1"/>
        <item x="0"/>
        <item x="8"/>
        <item x="7"/>
        <item x="5"/>
        <item x="6"/>
        <item x="2"/>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21">
    <i>
      <x v="10"/>
    </i>
    <i>
      <x v="3"/>
    </i>
    <i>
      <x v="6"/>
    </i>
    <i>
      <x v="5"/>
    </i>
    <i>
      <x v="16"/>
    </i>
    <i>
      <x v="17"/>
    </i>
    <i>
      <x v="7"/>
    </i>
    <i>
      <x v="9"/>
    </i>
    <i>
      <x v="8"/>
    </i>
    <i>
      <x v="19"/>
    </i>
    <i>
      <x v="12"/>
    </i>
    <i>
      <x v="18"/>
    </i>
    <i>
      <x v="4"/>
    </i>
    <i>
      <x v="11"/>
    </i>
    <i>
      <x v="15"/>
    </i>
    <i>
      <x v="1"/>
    </i>
    <i>
      <x v="14"/>
    </i>
    <i>
      <x/>
    </i>
    <i>
      <x v="2"/>
    </i>
    <i>
      <x v="13"/>
    </i>
    <i t="grand">
      <x/>
    </i>
  </rowItems>
  <colItems count="1">
    <i/>
  </colItems>
  <dataFields count="1">
    <dataField name="Sum of ticket_amount" fld="6" baseField="0" baseItem="0"/>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F6C108-1CBE-4558-BE19-A0057BBD248E}" name="PivotTable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9">
    <pivotField dataField="1" showAll="0"/>
    <pivotField showAll="0"/>
    <pivotField showAll="0"/>
    <pivotField showAll="0"/>
    <pivotField numFmtId="164" showAll="0">
      <items count="943">
        <item x="775"/>
        <item x="784"/>
        <item x="60"/>
        <item x="889"/>
        <item x="341"/>
        <item x="908"/>
        <item x="54"/>
        <item x="159"/>
        <item x="461"/>
        <item x="259"/>
        <item x="802"/>
        <item x="394"/>
        <item x="344"/>
        <item x="438"/>
        <item x="924"/>
        <item x="718"/>
        <item x="609"/>
        <item x="332"/>
        <item x="827"/>
        <item x="434"/>
        <item x="500"/>
        <item x="173"/>
        <item x="577"/>
        <item x="380"/>
        <item x="898"/>
        <item x="26"/>
        <item x="418"/>
        <item x="794"/>
        <item x="896"/>
        <item x="403"/>
        <item x="200"/>
        <item x="646"/>
        <item x="587"/>
        <item x="67"/>
        <item x="929"/>
        <item x="657"/>
        <item x="186"/>
        <item x="534"/>
        <item x="869"/>
        <item x="146"/>
        <item x="31"/>
        <item x="778"/>
        <item x="856"/>
        <item x="445"/>
        <item x="258"/>
        <item x="607"/>
        <item x="256"/>
        <item x="255"/>
        <item x="502"/>
        <item x="36"/>
        <item x="512"/>
        <item x="441"/>
        <item x="580"/>
        <item x="844"/>
        <item x="937"/>
        <item x="751"/>
        <item x="415"/>
        <item x="700"/>
        <item x="863"/>
        <item x="773"/>
        <item x="150"/>
        <item x="116"/>
        <item x="297"/>
        <item x="533"/>
        <item x="897"/>
        <item x="638"/>
        <item x="398"/>
        <item x="52"/>
        <item x="761"/>
        <item x="530"/>
        <item x="602"/>
        <item x="134"/>
        <item x="840"/>
        <item x="1"/>
        <item x="903"/>
        <item x="95"/>
        <item x="550"/>
        <item x="304"/>
        <item x="564"/>
        <item x="97"/>
        <item x="891"/>
        <item x="164"/>
        <item x="13"/>
        <item x="109"/>
        <item x="640"/>
        <item x="878"/>
        <item x="581"/>
        <item x="343"/>
        <item x="728"/>
        <item x="786"/>
        <item x="900"/>
        <item x="114"/>
        <item x="357"/>
        <item x="935"/>
        <item x="53"/>
        <item x="63"/>
        <item x="275"/>
        <item x="386"/>
        <item x="858"/>
        <item x="209"/>
        <item x="3"/>
        <item x="887"/>
        <item x="39"/>
        <item x="330"/>
        <item x="460"/>
        <item x="331"/>
        <item x="24"/>
        <item x="912"/>
        <item x="208"/>
        <item x="854"/>
        <item x="288"/>
        <item x="648"/>
        <item x="12"/>
        <item x="89"/>
        <item x="201"/>
        <item x="523"/>
        <item x="555"/>
        <item x="508"/>
        <item x="325"/>
        <item x="174"/>
        <item x="298"/>
        <item x="610"/>
        <item x="938"/>
        <item x="852"/>
        <item x="569"/>
        <item x="738"/>
        <item x="197"/>
        <item x="283"/>
        <item x="561"/>
        <item x="138"/>
        <item x="149"/>
        <item x="725"/>
        <item x="812"/>
        <item x="105"/>
        <item x="860"/>
        <item x="424"/>
        <item x="315"/>
        <item x="382"/>
        <item x="916"/>
        <item x="333"/>
        <item x="527"/>
        <item x="196"/>
        <item x="287"/>
        <item x="808"/>
        <item x="301"/>
        <item x="576"/>
        <item x="729"/>
        <item x="145"/>
        <item x="694"/>
        <item x="215"/>
        <item x="620"/>
        <item x="85"/>
        <item x="239"/>
        <item x="703"/>
        <item x="506"/>
        <item x="123"/>
        <item x="907"/>
        <item x="842"/>
        <item x="199"/>
        <item x="406"/>
        <item x="227"/>
        <item x="548"/>
        <item x="841"/>
        <item x="98"/>
        <item x="759"/>
        <item x="246"/>
        <item x="167"/>
        <item x="57"/>
        <item x="732"/>
        <item x="220"/>
        <item x="21"/>
        <item x="172"/>
        <item x="804"/>
        <item x="419"/>
        <item x="848"/>
        <item x="91"/>
        <item x="650"/>
        <item x="734"/>
        <item x="566"/>
        <item x="102"/>
        <item x="414"/>
        <item x="430"/>
        <item x="372"/>
        <item x="10"/>
        <item x="917"/>
        <item x="583"/>
        <item x="691"/>
        <item x="754"/>
        <item x="867"/>
        <item x="110"/>
        <item x="631"/>
        <item x="153"/>
        <item x="151"/>
        <item x="241"/>
        <item x="323"/>
        <item x="23"/>
        <item x="163"/>
        <item x="733"/>
        <item x="818"/>
        <item x="293"/>
        <item x="552"/>
        <item x="495"/>
        <item x="706"/>
        <item x="397"/>
        <item x="477"/>
        <item x="519"/>
        <item x="704"/>
        <item x="697"/>
        <item x="322"/>
        <item x="809"/>
        <item x="690"/>
        <item x="124"/>
        <item x="668"/>
        <item x="672"/>
        <item x="305"/>
        <item x="5"/>
        <item x="360"/>
        <item x="350"/>
        <item x="473"/>
        <item x="549"/>
        <item x="399"/>
        <item x="614"/>
        <item x="347"/>
        <item x="66"/>
        <item x="280"/>
        <item x="212"/>
        <item x="606"/>
        <item x="760"/>
        <item x="133"/>
        <item x="411"/>
        <item x="660"/>
        <item x="210"/>
        <item x="471"/>
        <item x="264"/>
        <item x="18"/>
        <item x="905"/>
        <item x="224"/>
        <item x="235"/>
        <item x="250"/>
        <item x="520"/>
        <item x="675"/>
        <item x="628"/>
        <item x="292"/>
        <item x="439"/>
        <item x="653"/>
        <item x="941"/>
        <item x="822"/>
        <item x="820"/>
        <item x="49"/>
        <item x="455"/>
        <item x="154"/>
        <item x="806"/>
        <item x="55"/>
        <item x="165"/>
        <item x="911"/>
        <item x="695"/>
        <item x="560"/>
        <item x="801"/>
        <item x="670"/>
        <item x="652"/>
        <item x="342"/>
        <item x="655"/>
        <item x="769"/>
        <item x="422"/>
        <item x="9"/>
        <item x="644"/>
        <item x="807"/>
        <item x="776"/>
        <item x="927"/>
        <item x="913"/>
        <item x="739"/>
        <item x="605"/>
        <item x="766"/>
        <item x="515"/>
        <item x="84"/>
        <item x="62"/>
        <item x="16"/>
        <item x="396"/>
        <item x="663"/>
        <item x="178"/>
        <item x="346"/>
        <item x="862"/>
        <item x="336"/>
        <item x="829"/>
        <item x="538"/>
        <item x="132"/>
        <item x="882"/>
        <item x="358"/>
        <item x="413"/>
        <item x="857"/>
        <item x="306"/>
        <item x="524"/>
        <item x="509"/>
        <item x="507"/>
        <item x="544"/>
        <item x="349"/>
        <item x="203"/>
        <item x="176"/>
        <item x="378"/>
        <item x="501"/>
        <item x="565"/>
        <item x="603"/>
        <item x="492"/>
        <item x="864"/>
        <item x="726"/>
        <item x="101"/>
        <item x="130"/>
        <item x="476"/>
        <item x="254"/>
        <item x="77"/>
        <item x="324"/>
        <item x="486"/>
        <item x="772"/>
        <item x="796"/>
        <item x="850"/>
        <item x="597"/>
        <item x="136"/>
        <item x="321"/>
        <item x="366"/>
        <item x="4"/>
        <item x="843"/>
        <item x="750"/>
        <item x="740"/>
        <item x="367"/>
        <item x="892"/>
        <item x="497"/>
        <item x="545"/>
        <item x="193"/>
        <item x="96"/>
        <item x="932"/>
        <item x="218"/>
        <item x="14"/>
        <item x="656"/>
        <item x="313"/>
        <item x="207"/>
        <item x="214"/>
        <item x="893"/>
        <item x="493"/>
        <item x="348"/>
        <item x="43"/>
        <item x="634"/>
        <item x="126"/>
        <item x="525"/>
        <item x="529"/>
        <item x="839"/>
        <item x="444"/>
        <item x="575"/>
        <item x="464"/>
        <item x="590"/>
        <item x="247"/>
        <item x="205"/>
        <item x="679"/>
        <item x="469"/>
        <item x="478"/>
        <item x="677"/>
        <item x="641"/>
        <item x="206"/>
        <item x="449"/>
        <item x="823"/>
        <item x="537"/>
        <item x="678"/>
        <item x="17"/>
        <item x="615"/>
        <item x="617"/>
        <item x="393"/>
        <item x="183"/>
        <item x="182"/>
        <item x="267"/>
        <item x="169"/>
        <item x="774"/>
        <item x="457"/>
        <item x="803"/>
        <item x="586"/>
        <item x="263"/>
        <item x="361"/>
        <item x="401"/>
        <item x="68"/>
        <item x="752"/>
        <item x="376"/>
        <item x="431"/>
        <item x="417"/>
        <item x="777"/>
        <item x="654"/>
        <item x="885"/>
        <item x="427"/>
        <item x="463"/>
        <item x="922"/>
        <item x="676"/>
        <item x="65"/>
        <item x="682"/>
        <item x="696"/>
        <item x="257"/>
        <item x="861"/>
        <item x="302"/>
        <item x="470"/>
        <item x="612"/>
        <item x="373"/>
        <item x="599"/>
        <item x="115"/>
        <item x="642"/>
        <item x="229"/>
        <item x="404"/>
        <item x="291"/>
        <item x="791"/>
        <item x="121"/>
        <item x="521"/>
        <item x="384"/>
        <item x="814"/>
        <item x="472"/>
        <item x="289"/>
        <item x="505"/>
        <item x="762"/>
        <item x="195"/>
        <item x="790"/>
        <item x="2"/>
        <item x="222"/>
        <item x="458"/>
        <item x="428"/>
        <item x="189"/>
        <item x="724"/>
        <item x="166"/>
        <item x="381"/>
        <item x="736"/>
        <item x="488"/>
        <item x="144"/>
        <item x="876"/>
        <item x="34"/>
        <item x="272"/>
        <item x="22"/>
        <item x="362"/>
        <item x="723"/>
        <item x="383"/>
        <item x="314"/>
        <item x="432"/>
        <item x="433"/>
        <item x="328"/>
        <item x="402"/>
        <item x="479"/>
        <item x="44"/>
        <item x="277"/>
        <item x="745"/>
        <item x="111"/>
        <item x="243"/>
        <item x="73"/>
        <item x="688"/>
        <item x="42"/>
        <item x="890"/>
        <item x="177"/>
        <item x="626"/>
        <item x="265"/>
        <item x="368"/>
        <item x="270"/>
        <item x="870"/>
        <item x="389"/>
        <item x="440"/>
        <item x="709"/>
        <item x="338"/>
        <item x="489"/>
        <item x="886"/>
        <item x="188"/>
        <item x="274"/>
        <item x="334"/>
        <item x="787"/>
        <item x="608"/>
        <item x="873"/>
        <item x="252"/>
        <item x="340"/>
        <item x="148"/>
        <item x="835"/>
        <item x="800"/>
        <item x="633"/>
        <item x="312"/>
        <item x="450"/>
        <item x="698"/>
        <item x="815"/>
        <item x="559"/>
        <item x="910"/>
        <item x="86"/>
        <item x="915"/>
        <item x="175"/>
        <item x="335"/>
        <item x="727"/>
        <item x="28"/>
        <item x="122"/>
        <item x="613"/>
        <item x="600"/>
        <item x="127"/>
        <item x="629"/>
        <item x="643"/>
        <item x="75"/>
        <item x="722"/>
        <item x="934"/>
        <item x="41"/>
        <item x="447"/>
        <item x="496"/>
        <item x="129"/>
        <item x="421"/>
        <item x="596"/>
        <item x="248"/>
        <item x="535"/>
        <item x="453"/>
        <item x="416"/>
        <item x="56"/>
        <item x="637"/>
        <item x="211"/>
        <item x="767"/>
        <item x="674"/>
        <item x="232"/>
        <item x="251"/>
        <item x="443"/>
        <item x="329"/>
        <item x="619"/>
        <item x="764"/>
        <item x="27"/>
        <item x="409"/>
        <item x="352"/>
        <item x="152"/>
        <item x="749"/>
        <item x="233"/>
        <item x="192"/>
        <item x="108"/>
        <item x="311"/>
        <item x="746"/>
        <item x="370"/>
        <item x="278"/>
        <item x="137"/>
        <item x="59"/>
        <item x="627"/>
        <item x="711"/>
        <item x="279"/>
        <item x="563"/>
        <item x="693"/>
        <item x="237"/>
        <item x="35"/>
        <item x="296"/>
        <item x="579"/>
        <item x="400"/>
        <item x="40"/>
        <item x="38"/>
        <item x="452"/>
        <item x="707"/>
        <item x="72"/>
        <item x="851"/>
        <item x="474"/>
        <item x="904"/>
        <item x="837"/>
        <item x="88"/>
        <item x="859"/>
        <item x="320"/>
        <item x="179"/>
        <item x="359"/>
        <item x="131"/>
        <item x="592"/>
        <item x="919"/>
        <item x="295"/>
        <item x="92"/>
        <item x="100"/>
        <item x="119"/>
        <item x="513"/>
        <item x="238"/>
        <item x="589"/>
        <item x="810"/>
        <item x="618"/>
        <item x="143"/>
        <item x="377"/>
        <item x="713"/>
        <item x="621"/>
        <item x="574"/>
        <item x="104"/>
        <item x="236"/>
        <item x="82"/>
        <item x="487"/>
        <item x="407"/>
        <item x="157"/>
        <item x="930"/>
        <item x="194"/>
        <item x="825"/>
        <item x="541"/>
        <item x="625"/>
        <item x="874"/>
        <item x="531"/>
        <item x="819"/>
        <item x="543"/>
        <item x="354"/>
        <item x="931"/>
        <item x="468"/>
        <item x="282"/>
        <item x="140"/>
        <item x="356"/>
        <item x="81"/>
        <item x="448"/>
        <item x="281"/>
        <item x="539"/>
        <item x="828"/>
        <item x="117"/>
        <item x="363"/>
        <item x="783"/>
        <item x="388"/>
        <item x="540"/>
        <item x="219"/>
        <item x="742"/>
        <item x="665"/>
        <item x="551"/>
        <item x="517"/>
        <item x="317"/>
        <item x="162"/>
        <item x="64"/>
        <item x="868"/>
        <item x="58"/>
        <item x="79"/>
        <item x="901"/>
        <item x="80"/>
        <item x="781"/>
        <item x="845"/>
        <item x="765"/>
        <item x="423"/>
        <item x="553"/>
        <item x="824"/>
        <item x="244"/>
        <item x="526"/>
        <item x="877"/>
        <item x="687"/>
        <item x="490"/>
        <item x="748"/>
        <item x="883"/>
        <item x="339"/>
        <item x="11"/>
        <item x="795"/>
        <item x="187"/>
        <item x="593"/>
        <item x="285"/>
        <item x="570"/>
        <item x="120"/>
        <item x="716"/>
        <item x="811"/>
        <item x="571"/>
        <item x="294"/>
        <item x="284"/>
        <item x="578"/>
        <item x="392"/>
        <item x="276"/>
        <item x="683"/>
        <item x="536"/>
        <item x="821"/>
        <item x="480"/>
        <item x="567"/>
        <item x="139"/>
        <item x="249"/>
        <item x="74"/>
        <item x="147"/>
        <item x="168"/>
        <item x="454"/>
        <item x="429"/>
        <item x="442"/>
        <item x="595"/>
        <item x="107"/>
        <item x="446"/>
        <item x="847"/>
        <item x="710"/>
        <item x="771"/>
        <item x="510"/>
        <item x="702"/>
        <item x="914"/>
        <item x="466"/>
        <item x="753"/>
        <item x="735"/>
        <item x="387"/>
        <item x="226"/>
        <item x="744"/>
        <item x="48"/>
        <item x="659"/>
        <item x="498"/>
        <item x="355"/>
        <item x="582"/>
        <item x="142"/>
        <item x="568"/>
        <item x="30"/>
        <item x="879"/>
        <item x="792"/>
        <item x="636"/>
        <item x="899"/>
        <item x="20"/>
        <item x="106"/>
        <item x="881"/>
        <item x="266"/>
        <item x="813"/>
        <item x="426"/>
        <item x="467"/>
        <item x="516"/>
        <item x="391"/>
        <item x="717"/>
        <item x="299"/>
        <item x="161"/>
        <item x="47"/>
        <item x="731"/>
        <item x="715"/>
        <item x="303"/>
        <item x="300"/>
        <item x="880"/>
        <item x="601"/>
        <item x="181"/>
        <item x="221"/>
        <item x="664"/>
        <item x="680"/>
        <item x="849"/>
        <item x="204"/>
        <item x="491"/>
        <item x="273"/>
        <item x="379"/>
        <item x="925"/>
        <item x="875"/>
        <item x="70"/>
        <item x="866"/>
        <item x="113"/>
        <item x="522"/>
        <item x="798"/>
        <item x="838"/>
        <item x="485"/>
        <item x="228"/>
        <item x="156"/>
        <item x="572"/>
        <item x="76"/>
        <item x="832"/>
        <item x="345"/>
        <item x="562"/>
        <item x="720"/>
        <item x="125"/>
        <item x="591"/>
        <item x="573"/>
        <item x="667"/>
        <item x="623"/>
        <item x="906"/>
        <item x="171"/>
        <item x="78"/>
        <item x="7"/>
        <item x="128"/>
        <item x="353"/>
        <item x="351"/>
        <item x="365"/>
        <item x="318"/>
        <item x="245"/>
        <item x="923"/>
        <item x="588"/>
        <item x="6"/>
        <item x="936"/>
        <item x="481"/>
        <item x="61"/>
        <item x="45"/>
        <item x="262"/>
        <item x="542"/>
        <item x="462"/>
        <item x="213"/>
        <item x="836"/>
        <item x="160"/>
        <item x="408"/>
        <item x="37"/>
        <item x="685"/>
        <item x="532"/>
        <item x="556"/>
        <item x="719"/>
        <item x="158"/>
        <item x="371"/>
        <item x="920"/>
        <item x="834"/>
        <item x="528"/>
        <item x="141"/>
        <item x="190"/>
        <item x="635"/>
        <item x="135"/>
        <item x="797"/>
        <item x="483"/>
        <item x="271"/>
        <item x="770"/>
        <item x="669"/>
        <item x="584"/>
        <item x="253"/>
        <item x="425"/>
        <item x="888"/>
        <item x="436"/>
        <item x="261"/>
        <item x="926"/>
        <item x="269"/>
        <item x="184"/>
        <item x="268"/>
        <item x="651"/>
        <item x="390"/>
        <item x="546"/>
        <item x="705"/>
        <item x="307"/>
        <item x="737"/>
        <item x="779"/>
        <item x="46"/>
        <item x="699"/>
        <item x="112"/>
        <item x="921"/>
        <item x="831"/>
        <item x="630"/>
        <item x="484"/>
        <item x="611"/>
        <item x="51"/>
        <item x="118"/>
        <item x="701"/>
        <item x="405"/>
        <item x="895"/>
        <item x="19"/>
        <item x="755"/>
        <item x="385"/>
        <item x="681"/>
        <item x="894"/>
        <item x="768"/>
        <item x="788"/>
        <item x="290"/>
        <item x="99"/>
        <item x="504"/>
        <item x="395"/>
        <item x="865"/>
        <item x="8"/>
        <item x="514"/>
        <item x="503"/>
        <item x="686"/>
        <item x="758"/>
        <item x="308"/>
        <item x="90"/>
        <item x="805"/>
        <item x="649"/>
        <item x="826"/>
        <item x="217"/>
        <item x="692"/>
        <item x="756"/>
        <item x="374"/>
        <item x="647"/>
        <item x="451"/>
        <item x="103"/>
        <item x="594"/>
        <item x="624"/>
        <item x="32"/>
        <item x="853"/>
        <item x="757"/>
        <item x="598"/>
        <item x="185"/>
        <item x="785"/>
        <item x="326"/>
        <item x="547"/>
        <item x="511"/>
        <item x="632"/>
        <item x="499"/>
        <item x="242"/>
        <item x="666"/>
        <item x="671"/>
        <item x="410"/>
        <item x="482"/>
        <item x="689"/>
        <item x="616"/>
        <item x="337"/>
        <item x="231"/>
        <item x="234"/>
        <item x="50"/>
        <item x="33"/>
        <item x="435"/>
        <item x="225"/>
        <item x="327"/>
        <item x="494"/>
        <item x="855"/>
        <item x="29"/>
        <item x="782"/>
        <item x="817"/>
        <item x="240"/>
        <item x="661"/>
        <item x="465"/>
        <item x="191"/>
        <item x="87"/>
        <item x="721"/>
        <item x="15"/>
        <item x="198"/>
        <item x="639"/>
        <item x="375"/>
        <item x="884"/>
        <item x="585"/>
        <item x="673"/>
        <item x="714"/>
        <item x="260"/>
        <item x="93"/>
        <item x="747"/>
        <item x="684"/>
        <item x="309"/>
        <item x="459"/>
        <item x="0"/>
        <item x="316"/>
        <item x="412"/>
        <item x="170"/>
        <item x="475"/>
        <item x="918"/>
        <item x="830"/>
        <item x="310"/>
        <item x="871"/>
        <item x="202"/>
        <item x="928"/>
        <item x="180"/>
        <item x="940"/>
        <item x="872"/>
        <item x="743"/>
        <item x="456"/>
        <item x="155"/>
        <item x="662"/>
        <item x="730"/>
        <item x="25"/>
        <item x="741"/>
        <item x="604"/>
        <item x="933"/>
        <item x="789"/>
        <item x="518"/>
        <item x="554"/>
        <item x="83"/>
        <item x="319"/>
        <item x="939"/>
        <item x="816"/>
        <item x="712"/>
        <item x="369"/>
        <item x="94"/>
        <item x="846"/>
        <item x="780"/>
        <item x="69"/>
        <item x="622"/>
        <item x="558"/>
        <item x="230"/>
        <item x="71"/>
        <item x="793"/>
        <item x="645"/>
        <item x="658"/>
        <item x="708"/>
        <item x="286"/>
        <item x="799"/>
        <item x="902"/>
        <item x="364"/>
        <item x="763"/>
        <item x="216"/>
        <item x="437"/>
        <item x="833"/>
        <item x="420"/>
        <item x="909"/>
        <item x="223"/>
        <item x="557"/>
        <item t="default"/>
      </items>
    </pivotField>
    <pivotField showAll="0"/>
    <pivotField showAll="0">
      <items count="18">
        <item x="7"/>
        <item x="1"/>
        <item x="15"/>
        <item x="12"/>
        <item x="3"/>
        <item x="13"/>
        <item x="8"/>
        <item x="9"/>
        <item x="10"/>
        <item x="4"/>
        <item x="2"/>
        <item x="11"/>
        <item x="6"/>
        <item x="5"/>
        <item x="16"/>
        <item x="0"/>
        <item x="14"/>
        <item t="default"/>
      </items>
    </pivotField>
    <pivotField showAll="0">
      <items count="3">
        <item x="0"/>
        <item x="1"/>
        <item t="default"/>
      </items>
    </pivotField>
    <pivotField showAll="0">
      <items count="4">
        <item x="2"/>
        <item x="0"/>
        <item x="1"/>
        <item t="default"/>
      </items>
    </pivotField>
    <pivotField showAll="0"/>
    <pivotField showAll="0"/>
    <pivotField showAll="0">
      <items count="13">
        <item x="1"/>
        <item x="3"/>
        <item x="5"/>
        <item x="4"/>
        <item x="9"/>
        <item x="2"/>
        <item x="11"/>
        <item x="8"/>
        <item x="10"/>
        <item x="6"/>
        <item x="7"/>
        <item x="0"/>
        <item t="default"/>
      </items>
    </pivotField>
    <pivotField showAll="0"/>
    <pivotField showAll="0"/>
    <pivotField showAll="0"/>
    <pivotField showAll="0">
      <items count="21">
        <item x="8"/>
        <item x="13"/>
        <item x="10"/>
        <item x="17"/>
        <item x="5"/>
        <item x="3"/>
        <item x="1"/>
        <item x="16"/>
        <item x="15"/>
        <item x="4"/>
        <item x="19"/>
        <item x="12"/>
        <item x="9"/>
        <item x="0"/>
        <item x="11"/>
        <item x="18"/>
        <item x="7"/>
        <item x="2"/>
        <item x="6"/>
        <item x="14"/>
        <item t="default"/>
      </items>
    </pivotField>
    <pivotField showAll="0">
      <items count="11">
        <item x="3"/>
        <item x="9"/>
        <item x="1"/>
        <item x="0"/>
        <item x="8"/>
        <item x="7"/>
        <item x="5"/>
        <item x="6"/>
        <item x="2"/>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booking_id" fld="0" subtotal="count" baseField="0" baseItem="0" numFmtId="1"/>
  </dataFields>
  <formats count="1">
    <format dxfId="40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6AEB59-7040-4B23-8789-C22DEDD346EB}" name="PivotTable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6:B19" firstHeaderRow="1" firstDataRow="1" firstDataCol="1"/>
  <pivotFields count="19">
    <pivotField dataField="1" showAll="0"/>
    <pivotField showAll="0"/>
    <pivotField showAll="0"/>
    <pivotField showAll="0"/>
    <pivotField numFmtId="164" showAll="0">
      <items count="943">
        <item x="775"/>
        <item x="784"/>
        <item x="60"/>
        <item x="889"/>
        <item x="341"/>
        <item x="908"/>
        <item x="54"/>
        <item x="159"/>
        <item x="461"/>
        <item x="259"/>
        <item x="802"/>
        <item x="394"/>
        <item x="344"/>
        <item x="438"/>
        <item x="924"/>
        <item x="718"/>
        <item x="609"/>
        <item x="332"/>
        <item x="827"/>
        <item x="434"/>
        <item x="500"/>
        <item x="173"/>
        <item x="577"/>
        <item x="380"/>
        <item x="898"/>
        <item x="26"/>
        <item x="418"/>
        <item x="794"/>
        <item x="896"/>
        <item x="403"/>
        <item x="200"/>
        <item x="646"/>
        <item x="587"/>
        <item x="67"/>
        <item x="929"/>
        <item x="657"/>
        <item x="186"/>
        <item x="534"/>
        <item x="869"/>
        <item x="146"/>
        <item x="31"/>
        <item x="778"/>
        <item x="856"/>
        <item x="445"/>
        <item x="258"/>
        <item x="607"/>
        <item x="256"/>
        <item x="255"/>
        <item x="502"/>
        <item x="36"/>
        <item x="512"/>
        <item x="441"/>
        <item x="580"/>
        <item x="844"/>
        <item x="937"/>
        <item x="751"/>
        <item x="415"/>
        <item x="700"/>
        <item x="863"/>
        <item x="773"/>
        <item x="150"/>
        <item x="116"/>
        <item x="297"/>
        <item x="533"/>
        <item x="897"/>
        <item x="638"/>
        <item x="398"/>
        <item x="52"/>
        <item x="761"/>
        <item x="530"/>
        <item x="602"/>
        <item x="134"/>
        <item x="840"/>
        <item x="1"/>
        <item x="903"/>
        <item x="95"/>
        <item x="550"/>
        <item x="304"/>
        <item x="564"/>
        <item x="97"/>
        <item x="891"/>
        <item x="164"/>
        <item x="13"/>
        <item x="109"/>
        <item x="640"/>
        <item x="878"/>
        <item x="581"/>
        <item x="343"/>
        <item x="728"/>
        <item x="786"/>
        <item x="900"/>
        <item x="114"/>
        <item x="357"/>
        <item x="935"/>
        <item x="53"/>
        <item x="63"/>
        <item x="275"/>
        <item x="386"/>
        <item x="858"/>
        <item x="209"/>
        <item x="3"/>
        <item x="887"/>
        <item x="39"/>
        <item x="330"/>
        <item x="460"/>
        <item x="331"/>
        <item x="24"/>
        <item x="912"/>
        <item x="208"/>
        <item x="854"/>
        <item x="288"/>
        <item x="648"/>
        <item x="12"/>
        <item x="89"/>
        <item x="201"/>
        <item x="523"/>
        <item x="555"/>
        <item x="508"/>
        <item x="325"/>
        <item x="174"/>
        <item x="298"/>
        <item x="610"/>
        <item x="938"/>
        <item x="852"/>
        <item x="569"/>
        <item x="738"/>
        <item x="197"/>
        <item x="283"/>
        <item x="561"/>
        <item x="138"/>
        <item x="149"/>
        <item x="725"/>
        <item x="812"/>
        <item x="105"/>
        <item x="860"/>
        <item x="424"/>
        <item x="315"/>
        <item x="382"/>
        <item x="916"/>
        <item x="333"/>
        <item x="527"/>
        <item x="196"/>
        <item x="287"/>
        <item x="808"/>
        <item x="301"/>
        <item x="576"/>
        <item x="729"/>
        <item x="145"/>
        <item x="694"/>
        <item x="215"/>
        <item x="620"/>
        <item x="85"/>
        <item x="239"/>
        <item x="703"/>
        <item x="506"/>
        <item x="123"/>
        <item x="907"/>
        <item x="842"/>
        <item x="199"/>
        <item x="406"/>
        <item x="227"/>
        <item x="548"/>
        <item x="841"/>
        <item x="98"/>
        <item x="759"/>
        <item x="246"/>
        <item x="167"/>
        <item x="57"/>
        <item x="732"/>
        <item x="220"/>
        <item x="21"/>
        <item x="172"/>
        <item x="804"/>
        <item x="419"/>
        <item x="848"/>
        <item x="91"/>
        <item x="650"/>
        <item x="734"/>
        <item x="566"/>
        <item x="102"/>
        <item x="414"/>
        <item x="430"/>
        <item x="372"/>
        <item x="10"/>
        <item x="917"/>
        <item x="583"/>
        <item x="691"/>
        <item x="754"/>
        <item x="867"/>
        <item x="110"/>
        <item x="631"/>
        <item x="153"/>
        <item x="151"/>
        <item x="241"/>
        <item x="323"/>
        <item x="23"/>
        <item x="163"/>
        <item x="733"/>
        <item x="818"/>
        <item x="293"/>
        <item x="552"/>
        <item x="495"/>
        <item x="706"/>
        <item x="397"/>
        <item x="477"/>
        <item x="519"/>
        <item x="704"/>
        <item x="697"/>
        <item x="322"/>
        <item x="809"/>
        <item x="690"/>
        <item x="124"/>
        <item x="668"/>
        <item x="672"/>
        <item x="305"/>
        <item x="5"/>
        <item x="360"/>
        <item x="350"/>
        <item x="473"/>
        <item x="549"/>
        <item x="399"/>
        <item x="614"/>
        <item x="347"/>
        <item x="66"/>
        <item x="280"/>
        <item x="212"/>
        <item x="606"/>
        <item x="760"/>
        <item x="133"/>
        <item x="411"/>
        <item x="660"/>
        <item x="210"/>
        <item x="471"/>
        <item x="264"/>
        <item x="18"/>
        <item x="905"/>
        <item x="224"/>
        <item x="235"/>
        <item x="250"/>
        <item x="520"/>
        <item x="675"/>
        <item x="628"/>
        <item x="292"/>
        <item x="439"/>
        <item x="653"/>
        <item x="941"/>
        <item x="822"/>
        <item x="820"/>
        <item x="49"/>
        <item x="455"/>
        <item x="154"/>
        <item x="806"/>
        <item x="55"/>
        <item x="165"/>
        <item x="911"/>
        <item x="695"/>
        <item x="560"/>
        <item x="801"/>
        <item x="670"/>
        <item x="652"/>
        <item x="342"/>
        <item x="655"/>
        <item x="769"/>
        <item x="422"/>
        <item x="9"/>
        <item x="644"/>
        <item x="807"/>
        <item x="776"/>
        <item x="927"/>
        <item x="913"/>
        <item x="739"/>
        <item x="605"/>
        <item x="766"/>
        <item x="515"/>
        <item x="84"/>
        <item x="62"/>
        <item x="16"/>
        <item x="396"/>
        <item x="663"/>
        <item x="178"/>
        <item x="346"/>
        <item x="862"/>
        <item x="336"/>
        <item x="829"/>
        <item x="538"/>
        <item x="132"/>
        <item x="882"/>
        <item x="358"/>
        <item x="413"/>
        <item x="857"/>
        <item x="306"/>
        <item x="524"/>
        <item x="509"/>
        <item x="507"/>
        <item x="544"/>
        <item x="349"/>
        <item x="203"/>
        <item x="176"/>
        <item x="378"/>
        <item x="501"/>
        <item x="565"/>
        <item x="603"/>
        <item x="492"/>
        <item x="864"/>
        <item x="726"/>
        <item x="101"/>
        <item x="130"/>
        <item x="476"/>
        <item x="254"/>
        <item x="77"/>
        <item x="324"/>
        <item x="486"/>
        <item x="772"/>
        <item x="796"/>
        <item x="850"/>
        <item x="597"/>
        <item x="136"/>
        <item x="321"/>
        <item x="366"/>
        <item x="4"/>
        <item x="843"/>
        <item x="750"/>
        <item x="740"/>
        <item x="367"/>
        <item x="892"/>
        <item x="497"/>
        <item x="545"/>
        <item x="193"/>
        <item x="96"/>
        <item x="932"/>
        <item x="218"/>
        <item x="14"/>
        <item x="656"/>
        <item x="313"/>
        <item x="207"/>
        <item x="214"/>
        <item x="893"/>
        <item x="493"/>
        <item x="348"/>
        <item x="43"/>
        <item x="634"/>
        <item x="126"/>
        <item x="525"/>
        <item x="529"/>
        <item x="839"/>
        <item x="444"/>
        <item x="575"/>
        <item x="464"/>
        <item x="590"/>
        <item x="247"/>
        <item x="205"/>
        <item x="679"/>
        <item x="469"/>
        <item x="478"/>
        <item x="677"/>
        <item x="641"/>
        <item x="206"/>
        <item x="449"/>
        <item x="823"/>
        <item x="537"/>
        <item x="678"/>
        <item x="17"/>
        <item x="615"/>
        <item x="617"/>
        <item x="393"/>
        <item x="183"/>
        <item x="182"/>
        <item x="267"/>
        <item x="169"/>
        <item x="774"/>
        <item x="457"/>
        <item x="803"/>
        <item x="586"/>
        <item x="263"/>
        <item x="361"/>
        <item x="401"/>
        <item x="68"/>
        <item x="752"/>
        <item x="376"/>
        <item x="431"/>
        <item x="417"/>
        <item x="777"/>
        <item x="654"/>
        <item x="885"/>
        <item x="427"/>
        <item x="463"/>
        <item x="922"/>
        <item x="676"/>
        <item x="65"/>
        <item x="682"/>
        <item x="696"/>
        <item x="257"/>
        <item x="861"/>
        <item x="302"/>
        <item x="470"/>
        <item x="612"/>
        <item x="373"/>
        <item x="599"/>
        <item x="115"/>
        <item x="642"/>
        <item x="229"/>
        <item x="404"/>
        <item x="291"/>
        <item x="791"/>
        <item x="121"/>
        <item x="521"/>
        <item x="384"/>
        <item x="814"/>
        <item x="472"/>
        <item x="289"/>
        <item x="505"/>
        <item x="762"/>
        <item x="195"/>
        <item x="790"/>
        <item x="2"/>
        <item x="222"/>
        <item x="458"/>
        <item x="428"/>
        <item x="189"/>
        <item x="724"/>
        <item x="166"/>
        <item x="381"/>
        <item x="736"/>
        <item x="488"/>
        <item x="144"/>
        <item x="876"/>
        <item x="34"/>
        <item x="272"/>
        <item x="22"/>
        <item x="362"/>
        <item x="723"/>
        <item x="383"/>
        <item x="314"/>
        <item x="432"/>
        <item x="433"/>
        <item x="328"/>
        <item x="402"/>
        <item x="479"/>
        <item x="44"/>
        <item x="277"/>
        <item x="745"/>
        <item x="111"/>
        <item x="243"/>
        <item x="73"/>
        <item x="688"/>
        <item x="42"/>
        <item x="890"/>
        <item x="177"/>
        <item x="626"/>
        <item x="265"/>
        <item x="368"/>
        <item x="270"/>
        <item x="870"/>
        <item x="389"/>
        <item x="440"/>
        <item x="709"/>
        <item x="338"/>
        <item x="489"/>
        <item x="886"/>
        <item x="188"/>
        <item x="274"/>
        <item x="334"/>
        <item x="787"/>
        <item x="608"/>
        <item x="873"/>
        <item x="252"/>
        <item x="340"/>
        <item x="148"/>
        <item x="835"/>
        <item x="800"/>
        <item x="633"/>
        <item x="312"/>
        <item x="450"/>
        <item x="698"/>
        <item x="815"/>
        <item x="559"/>
        <item x="910"/>
        <item x="86"/>
        <item x="915"/>
        <item x="175"/>
        <item x="335"/>
        <item x="727"/>
        <item x="28"/>
        <item x="122"/>
        <item x="613"/>
        <item x="600"/>
        <item x="127"/>
        <item x="629"/>
        <item x="643"/>
        <item x="75"/>
        <item x="722"/>
        <item x="934"/>
        <item x="41"/>
        <item x="447"/>
        <item x="496"/>
        <item x="129"/>
        <item x="421"/>
        <item x="596"/>
        <item x="248"/>
        <item x="535"/>
        <item x="453"/>
        <item x="416"/>
        <item x="56"/>
        <item x="637"/>
        <item x="211"/>
        <item x="767"/>
        <item x="674"/>
        <item x="232"/>
        <item x="251"/>
        <item x="443"/>
        <item x="329"/>
        <item x="619"/>
        <item x="764"/>
        <item x="27"/>
        <item x="409"/>
        <item x="352"/>
        <item x="152"/>
        <item x="749"/>
        <item x="233"/>
        <item x="192"/>
        <item x="108"/>
        <item x="311"/>
        <item x="746"/>
        <item x="370"/>
        <item x="278"/>
        <item x="137"/>
        <item x="59"/>
        <item x="627"/>
        <item x="711"/>
        <item x="279"/>
        <item x="563"/>
        <item x="693"/>
        <item x="237"/>
        <item x="35"/>
        <item x="296"/>
        <item x="579"/>
        <item x="400"/>
        <item x="40"/>
        <item x="38"/>
        <item x="452"/>
        <item x="707"/>
        <item x="72"/>
        <item x="851"/>
        <item x="474"/>
        <item x="904"/>
        <item x="837"/>
        <item x="88"/>
        <item x="859"/>
        <item x="320"/>
        <item x="179"/>
        <item x="359"/>
        <item x="131"/>
        <item x="592"/>
        <item x="919"/>
        <item x="295"/>
        <item x="92"/>
        <item x="100"/>
        <item x="119"/>
        <item x="513"/>
        <item x="238"/>
        <item x="589"/>
        <item x="810"/>
        <item x="618"/>
        <item x="143"/>
        <item x="377"/>
        <item x="713"/>
        <item x="621"/>
        <item x="574"/>
        <item x="104"/>
        <item x="236"/>
        <item x="82"/>
        <item x="487"/>
        <item x="407"/>
        <item x="157"/>
        <item x="930"/>
        <item x="194"/>
        <item x="825"/>
        <item x="541"/>
        <item x="625"/>
        <item x="874"/>
        <item x="531"/>
        <item x="819"/>
        <item x="543"/>
        <item x="354"/>
        <item x="931"/>
        <item x="468"/>
        <item x="282"/>
        <item x="140"/>
        <item x="356"/>
        <item x="81"/>
        <item x="448"/>
        <item x="281"/>
        <item x="539"/>
        <item x="828"/>
        <item x="117"/>
        <item x="363"/>
        <item x="783"/>
        <item x="388"/>
        <item x="540"/>
        <item x="219"/>
        <item x="742"/>
        <item x="665"/>
        <item x="551"/>
        <item x="517"/>
        <item x="317"/>
        <item x="162"/>
        <item x="64"/>
        <item x="868"/>
        <item x="58"/>
        <item x="79"/>
        <item x="901"/>
        <item x="80"/>
        <item x="781"/>
        <item x="845"/>
        <item x="765"/>
        <item x="423"/>
        <item x="553"/>
        <item x="824"/>
        <item x="244"/>
        <item x="526"/>
        <item x="877"/>
        <item x="687"/>
        <item x="490"/>
        <item x="748"/>
        <item x="883"/>
        <item x="339"/>
        <item x="11"/>
        <item x="795"/>
        <item x="187"/>
        <item x="593"/>
        <item x="285"/>
        <item x="570"/>
        <item x="120"/>
        <item x="716"/>
        <item x="811"/>
        <item x="571"/>
        <item x="294"/>
        <item x="284"/>
        <item x="578"/>
        <item x="392"/>
        <item x="276"/>
        <item x="683"/>
        <item x="536"/>
        <item x="821"/>
        <item x="480"/>
        <item x="567"/>
        <item x="139"/>
        <item x="249"/>
        <item x="74"/>
        <item x="147"/>
        <item x="168"/>
        <item x="454"/>
        <item x="429"/>
        <item x="442"/>
        <item x="595"/>
        <item x="107"/>
        <item x="446"/>
        <item x="847"/>
        <item x="710"/>
        <item x="771"/>
        <item x="510"/>
        <item x="702"/>
        <item x="914"/>
        <item x="466"/>
        <item x="753"/>
        <item x="735"/>
        <item x="387"/>
        <item x="226"/>
        <item x="744"/>
        <item x="48"/>
        <item x="659"/>
        <item x="498"/>
        <item x="355"/>
        <item x="582"/>
        <item x="142"/>
        <item x="568"/>
        <item x="30"/>
        <item x="879"/>
        <item x="792"/>
        <item x="636"/>
        <item x="899"/>
        <item x="20"/>
        <item x="106"/>
        <item x="881"/>
        <item x="266"/>
        <item x="813"/>
        <item x="426"/>
        <item x="467"/>
        <item x="516"/>
        <item x="391"/>
        <item x="717"/>
        <item x="299"/>
        <item x="161"/>
        <item x="47"/>
        <item x="731"/>
        <item x="715"/>
        <item x="303"/>
        <item x="300"/>
        <item x="880"/>
        <item x="601"/>
        <item x="181"/>
        <item x="221"/>
        <item x="664"/>
        <item x="680"/>
        <item x="849"/>
        <item x="204"/>
        <item x="491"/>
        <item x="273"/>
        <item x="379"/>
        <item x="925"/>
        <item x="875"/>
        <item x="70"/>
        <item x="866"/>
        <item x="113"/>
        <item x="522"/>
        <item x="798"/>
        <item x="838"/>
        <item x="485"/>
        <item x="228"/>
        <item x="156"/>
        <item x="572"/>
        <item x="76"/>
        <item x="832"/>
        <item x="345"/>
        <item x="562"/>
        <item x="720"/>
        <item x="125"/>
        <item x="591"/>
        <item x="573"/>
        <item x="667"/>
        <item x="623"/>
        <item x="906"/>
        <item x="171"/>
        <item x="78"/>
        <item x="7"/>
        <item x="128"/>
        <item x="353"/>
        <item x="351"/>
        <item x="365"/>
        <item x="318"/>
        <item x="245"/>
        <item x="923"/>
        <item x="588"/>
        <item x="6"/>
        <item x="936"/>
        <item x="481"/>
        <item x="61"/>
        <item x="45"/>
        <item x="262"/>
        <item x="542"/>
        <item x="462"/>
        <item x="213"/>
        <item x="836"/>
        <item x="160"/>
        <item x="408"/>
        <item x="37"/>
        <item x="685"/>
        <item x="532"/>
        <item x="556"/>
        <item x="719"/>
        <item x="158"/>
        <item x="371"/>
        <item x="920"/>
        <item x="834"/>
        <item x="528"/>
        <item x="141"/>
        <item x="190"/>
        <item x="635"/>
        <item x="135"/>
        <item x="797"/>
        <item x="483"/>
        <item x="271"/>
        <item x="770"/>
        <item x="669"/>
        <item x="584"/>
        <item x="253"/>
        <item x="425"/>
        <item x="888"/>
        <item x="436"/>
        <item x="261"/>
        <item x="926"/>
        <item x="269"/>
        <item x="184"/>
        <item x="268"/>
        <item x="651"/>
        <item x="390"/>
        <item x="546"/>
        <item x="705"/>
        <item x="307"/>
        <item x="737"/>
        <item x="779"/>
        <item x="46"/>
        <item x="699"/>
        <item x="112"/>
        <item x="921"/>
        <item x="831"/>
        <item x="630"/>
        <item x="484"/>
        <item x="611"/>
        <item x="51"/>
        <item x="118"/>
        <item x="701"/>
        <item x="405"/>
        <item x="895"/>
        <item x="19"/>
        <item x="755"/>
        <item x="385"/>
        <item x="681"/>
        <item x="894"/>
        <item x="768"/>
        <item x="788"/>
        <item x="290"/>
        <item x="99"/>
        <item x="504"/>
        <item x="395"/>
        <item x="865"/>
        <item x="8"/>
        <item x="514"/>
        <item x="503"/>
        <item x="686"/>
        <item x="758"/>
        <item x="308"/>
        <item x="90"/>
        <item x="805"/>
        <item x="649"/>
        <item x="826"/>
        <item x="217"/>
        <item x="692"/>
        <item x="756"/>
        <item x="374"/>
        <item x="647"/>
        <item x="451"/>
        <item x="103"/>
        <item x="594"/>
        <item x="624"/>
        <item x="32"/>
        <item x="853"/>
        <item x="757"/>
        <item x="598"/>
        <item x="185"/>
        <item x="785"/>
        <item x="326"/>
        <item x="547"/>
        <item x="511"/>
        <item x="632"/>
        <item x="499"/>
        <item x="242"/>
        <item x="666"/>
        <item x="671"/>
        <item x="410"/>
        <item x="482"/>
        <item x="689"/>
        <item x="616"/>
        <item x="337"/>
        <item x="231"/>
        <item x="234"/>
        <item x="50"/>
        <item x="33"/>
        <item x="435"/>
        <item x="225"/>
        <item x="327"/>
        <item x="494"/>
        <item x="855"/>
        <item x="29"/>
        <item x="782"/>
        <item x="817"/>
        <item x="240"/>
        <item x="661"/>
        <item x="465"/>
        <item x="191"/>
        <item x="87"/>
        <item x="721"/>
        <item x="15"/>
        <item x="198"/>
        <item x="639"/>
        <item x="375"/>
        <item x="884"/>
        <item x="585"/>
        <item x="673"/>
        <item x="714"/>
        <item x="260"/>
        <item x="93"/>
        <item x="747"/>
        <item x="684"/>
        <item x="309"/>
        <item x="459"/>
        <item x="0"/>
        <item x="316"/>
        <item x="412"/>
        <item x="170"/>
        <item x="475"/>
        <item x="918"/>
        <item x="830"/>
        <item x="310"/>
        <item x="871"/>
        <item x="202"/>
        <item x="928"/>
        <item x="180"/>
        <item x="940"/>
        <item x="872"/>
        <item x="743"/>
        <item x="456"/>
        <item x="155"/>
        <item x="662"/>
        <item x="730"/>
        <item x="25"/>
        <item x="741"/>
        <item x="604"/>
        <item x="933"/>
        <item x="789"/>
        <item x="518"/>
        <item x="554"/>
        <item x="83"/>
        <item x="319"/>
        <item x="939"/>
        <item x="816"/>
        <item x="712"/>
        <item x="369"/>
        <item x="94"/>
        <item x="846"/>
        <item x="780"/>
        <item x="69"/>
        <item x="622"/>
        <item x="558"/>
        <item x="230"/>
        <item x="71"/>
        <item x="793"/>
        <item x="645"/>
        <item x="658"/>
        <item x="708"/>
        <item x="286"/>
        <item x="799"/>
        <item x="902"/>
        <item x="364"/>
        <item x="763"/>
        <item x="216"/>
        <item x="437"/>
        <item x="833"/>
        <item x="420"/>
        <item x="909"/>
        <item x="223"/>
        <item x="557"/>
        <item t="default"/>
      </items>
    </pivotField>
    <pivotField showAll="0"/>
    <pivotField showAll="0">
      <items count="18">
        <item x="7"/>
        <item x="1"/>
        <item x="15"/>
        <item x="12"/>
        <item x="3"/>
        <item x="13"/>
        <item x="8"/>
        <item x="9"/>
        <item x="10"/>
        <item x="4"/>
        <item x="2"/>
        <item x="11"/>
        <item x="6"/>
        <item x="5"/>
        <item x="16"/>
        <item x="0"/>
        <item x="14"/>
        <item t="default"/>
      </items>
    </pivotField>
    <pivotField axis="axisRow" showAll="0">
      <items count="3">
        <item x="0"/>
        <item x="1"/>
        <item t="default"/>
      </items>
    </pivotField>
    <pivotField showAll="0">
      <items count="4">
        <item x="2"/>
        <item x="0"/>
        <item x="1"/>
        <item t="default"/>
      </items>
    </pivotField>
    <pivotField showAll="0"/>
    <pivotField showAll="0"/>
    <pivotField showAll="0">
      <items count="13">
        <item x="1"/>
        <item x="3"/>
        <item x="5"/>
        <item x="4"/>
        <item x="9"/>
        <item x="2"/>
        <item x="11"/>
        <item x="8"/>
        <item x="10"/>
        <item x="6"/>
        <item x="7"/>
        <item x="0"/>
        <item t="default"/>
      </items>
    </pivotField>
    <pivotField showAll="0"/>
    <pivotField showAll="0"/>
    <pivotField showAll="0"/>
    <pivotField showAll="0">
      <items count="21">
        <item x="8"/>
        <item x="13"/>
        <item x="10"/>
        <item x="17"/>
        <item x="5"/>
        <item x="3"/>
        <item x="1"/>
        <item x="16"/>
        <item x="15"/>
        <item x="4"/>
        <item x="19"/>
        <item x="12"/>
        <item x="9"/>
        <item x="0"/>
        <item x="11"/>
        <item x="18"/>
        <item x="7"/>
        <item x="2"/>
        <item x="6"/>
        <item x="14"/>
        <item t="default"/>
      </items>
    </pivotField>
    <pivotField showAll="0">
      <items count="11">
        <item x="3"/>
        <item x="9"/>
        <item x="1"/>
        <item x="0"/>
        <item x="8"/>
        <item x="7"/>
        <item x="5"/>
        <item x="6"/>
        <item x="2"/>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3">
    <i>
      <x/>
    </i>
    <i>
      <x v="1"/>
    </i>
    <i t="grand">
      <x/>
    </i>
  </rowItems>
  <colItems count="1">
    <i/>
  </colItems>
  <dataFields count="1">
    <dataField name="Count of booking_id" fld="0" subtotal="count" baseField="7"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7" count="1" selected="0">
            <x v="0"/>
          </reference>
        </references>
      </pivotArea>
    </chartFormat>
    <chartFormat chart="4" format="5">
      <pivotArea type="data" outline="0" fieldPosition="0">
        <references count="2">
          <reference field="4294967294" count="1" selected="0">
            <x v="0"/>
          </reference>
          <reference field="7"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7" count="1" selected="0">
            <x v="0"/>
          </reference>
        </references>
      </pivotArea>
    </chartFormat>
    <chartFormat chart="5" format="8">
      <pivotArea type="data" outline="0" fieldPosition="0">
        <references count="2">
          <reference field="4294967294" count="1" selected="0">
            <x v="0"/>
          </reference>
          <reference field="7"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7" count="1" selected="0">
            <x v="0"/>
          </reference>
        </references>
      </pivotArea>
    </chartFormat>
    <chartFormat chart="6"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4C7D3F-37D6-4A82-955C-5B2C5DD62AE5}" name="PivotTable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9">
    <pivotField showAll="0"/>
    <pivotField showAll="0"/>
    <pivotField showAll="0"/>
    <pivotField showAll="0"/>
    <pivotField numFmtId="164" showAll="0">
      <items count="943">
        <item x="775"/>
        <item x="784"/>
        <item x="60"/>
        <item x="889"/>
        <item x="341"/>
        <item x="908"/>
        <item x="54"/>
        <item x="159"/>
        <item x="461"/>
        <item x="259"/>
        <item x="802"/>
        <item x="394"/>
        <item x="344"/>
        <item x="438"/>
        <item x="924"/>
        <item x="718"/>
        <item x="609"/>
        <item x="332"/>
        <item x="827"/>
        <item x="434"/>
        <item x="500"/>
        <item x="173"/>
        <item x="577"/>
        <item x="380"/>
        <item x="898"/>
        <item x="26"/>
        <item x="418"/>
        <item x="794"/>
        <item x="896"/>
        <item x="403"/>
        <item x="200"/>
        <item x="646"/>
        <item x="587"/>
        <item x="67"/>
        <item x="929"/>
        <item x="657"/>
        <item x="186"/>
        <item x="534"/>
        <item x="869"/>
        <item x="146"/>
        <item x="31"/>
        <item x="778"/>
        <item x="856"/>
        <item x="445"/>
        <item x="258"/>
        <item x="607"/>
        <item x="256"/>
        <item x="255"/>
        <item x="502"/>
        <item x="36"/>
        <item x="512"/>
        <item x="441"/>
        <item x="580"/>
        <item x="844"/>
        <item x="937"/>
        <item x="751"/>
        <item x="415"/>
        <item x="700"/>
        <item x="863"/>
        <item x="773"/>
        <item x="150"/>
        <item x="116"/>
        <item x="297"/>
        <item x="533"/>
        <item x="897"/>
        <item x="638"/>
        <item x="398"/>
        <item x="52"/>
        <item x="761"/>
        <item x="530"/>
        <item x="602"/>
        <item x="134"/>
        <item x="840"/>
        <item x="1"/>
        <item x="903"/>
        <item x="95"/>
        <item x="550"/>
        <item x="304"/>
        <item x="564"/>
        <item x="97"/>
        <item x="891"/>
        <item x="164"/>
        <item x="13"/>
        <item x="109"/>
        <item x="640"/>
        <item x="878"/>
        <item x="581"/>
        <item x="343"/>
        <item x="728"/>
        <item x="786"/>
        <item x="900"/>
        <item x="114"/>
        <item x="357"/>
        <item x="935"/>
        <item x="53"/>
        <item x="63"/>
        <item x="275"/>
        <item x="386"/>
        <item x="858"/>
        <item x="209"/>
        <item x="3"/>
        <item x="887"/>
        <item x="39"/>
        <item x="330"/>
        <item x="460"/>
        <item x="331"/>
        <item x="24"/>
        <item x="912"/>
        <item x="208"/>
        <item x="854"/>
        <item x="288"/>
        <item x="648"/>
        <item x="12"/>
        <item x="89"/>
        <item x="201"/>
        <item x="523"/>
        <item x="555"/>
        <item x="508"/>
        <item x="325"/>
        <item x="174"/>
        <item x="298"/>
        <item x="610"/>
        <item x="938"/>
        <item x="852"/>
        <item x="569"/>
        <item x="738"/>
        <item x="197"/>
        <item x="283"/>
        <item x="561"/>
        <item x="138"/>
        <item x="149"/>
        <item x="725"/>
        <item x="812"/>
        <item x="105"/>
        <item x="860"/>
        <item x="424"/>
        <item x="315"/>
        <item x="382"/>
        <item x="916"/>
        <item x="333"/>
        <item x="527"/>
        <item x="196"/>
        <item x="287"/>
        <item x="808"/>
        <item x="301"/>
        <item x="576"/>
        <item x="729"/>
        <item x="145"/>
        <item x="694"/>
        <item x="215"/>
        <item x="620"/>
        <item x="85"/>
        <item x="239"/>
        <item x="703"/>
        <item x="506"/>
        <item x="123"/>
        <item x="907"/>
        <item x="842"/>
        <item x="199"/>
        <item x="406"/>
        <item x="227"/>
        <item x="548"/>
        <item x="841"/>
        <item x="98"/>
        <item x="759"/>
        <item x="246"/>
        <item x="167"/>
        <item x="57"/>
        <item x="732"/>
        <item x="220"/>
        <item x="21"/>
        <item x="172"/>
        <item x="804"/>
        <item x="419"/>
        <item x="848"/>
        <item x="91"/>
        <item x="650"/>
        <item x="734"/>
        <item x="566"/>
        <item x="102"/>
        <item x="414"/>
        <item x="430"/>
        <item x="372"/>
        <item x="10"/>
        <item x="917"/>
        <item x="583"/>
        <item x="691"/>
        <item x="754"/>
        <item x="867"/>
        <item x="110"/>
        <item x="631"/>
        <item x="153"/>
        <item x="151"/>
        <item x="241"/>
        <item x="323"/>
        <item x="23"/>
        <item x="163"/>
        <item x="733"/>
        <item x="818"/>
        <item x="293"/>
        <item x="552"/>
        <item x="495"/>
        <item x="706"/>
        <item x="397"/>
        <item x="477"/>
        <item x="519"/>
        <item x="704"/>
        <item x="697"/>
        <item x="322"/>
        <item x="809"/>
        <item x="690"/>
        <item x="124"/>
        <item x="668"/>
        <item x="672"/>
        <item x="305"/>
        <item x="5"/>
        <item x="360"/>
        <item x="350"/>
        <item x="473"/>
        <item x="549"/>
        <item x="399"/>
        <item x="614"/>
        <item x="347"/>
        <item x="66"/>
        <item x="280"/>
        <item x="212"/>
        <item x="606"/>
        <item x="760"/>
        <item x="133"/>
        <item x="411"/>
        <item x="660"/>
        <item x="210"/>
        <item x="471"/>
        <item x="264"/>
        <item x="18"/>
        <item x="905"/>
        <item x="224"/>
        <item x="235"/>
        <item x="250"/>
        <item x="520"/>
        <item x="675"/>
        <item x="628"/>
        <item x="292"/>
        <item x="439"/>
        <item x="653"/>
        <item x="941"/>
        <item x="822"/>
        <item x="820"/>
        <item x="49"/>
        <item x="455"/>
        <item x="154"/>
        <item x="806"/>
        <item x="55"/>
        <item x="165"/>
        <item x="911"/>
        <item x="695"/>
        <item x="560"/>
        <item x="801"/>
        <item x="670"/>
        <item x="652"/>
        <item x="342"/>
        <item x="655"/>
        <item x="769"/>
        <item x="422"/>
        <item x="9"/>
        <item x="644"/>
        <item x="807"/>
        <item x="776"/>
        <item x="927"/>
        <item x="913"/>
        <item x="739"/>
        <item x="605"/>
        <item x="766"/>
        <item x="515"/>
        <item x="84"/>
        <item x="62"/>
        <item x="16"/>
        <item x="396"/>
        <item x="663"/>
        <item x="178"/>
        <item x="346"/>
        <item x="862"/>
        <item x="336"/>
        <item x="829"/>
        <item x="538"/>
        <item x="132"/>
        <item x="882"/>
        <item x="358"/>
        <item x="413"/>
        <item x="857"/>
        <item x="306"/>
        <item x="524"/>
        <item x="509"/>
        <item x="507"/>
        <item x="544"/>
        <item x="349"/>
        <item x="203"/>
        <item x="176"/>
        <item x="378"/>
        <item x="501"/>
        <item x="565"/>
        <item x="603"/>
        <item x="492"/>
        <item x="864"/>
        <item x="726"/>
        <item x="101"/>
        <item x="130"/>
        <item x="476"/>
        <item x="254"/>
        <item x="77"/>
        <item x="324"/>
        <item x="486"/>
        <item x="772"/>
        <item x="796"/>
        <item x="850"/>
        <item x="597"/>
        <item x="136"/>
        <item x="321"/>
        <item x="366"/>
        <item x="4"/>
        <item x="843"/>
        <item x="750"/>
        <item x="740"/>
        <item x="367"/>
        <item x="892"/>
        <item x="497"/>
        <item x="545"/>
        <item x="193"/>
        <item x="96"/>
        <item x="932"/>
        <item x="218"/>
        <item x="14"/>
        <item x="656"/>
        <item x="313"/>
        <item x="207"/>
        <item x="214"/>
        <item x="893"/>
        <item x="493"/>
        <item x="348"/>
        <item x="43"/>
        <item x="634"/>
        <item x="126"/>
        <item x="525"/>
        <item x="529"/>
        <item x="839"/>
        <item x="444"/>
        <item x="575"/>
        <item x="464"/>
        <item x="590"/>
        <item x="247"/>
        <item x="205"/>
        <item x="679"/>
        <item x="469"/>
        <item x="478"/>
        <item x="677"/>
        <item x="641"/>
        <item x="206"/>
        <item x="449"/>
        <item x="823"/>
        <item x="537"/>
        <item x="678"/>
        <item x="17"/>
        <item x="615"/>
        <item x="617"/>
        <item x="393"/>
        <item x="183"/>
        <item x="182"/>
        <item x="267"/>
        <item x="169"/>
        <item x="774"/>
        <item x="457"/>
        <item x="803"/>
        <item x="586"/>
        <item x="263"/>
        <item x="361"/>
        <item x="401"/>
        <item x="68"/>
        <item x="752"/>
        <item x="376"/>
        <item x="431"/>
        <item x="417"/>
        <item x="777"/>
        <item x="654"/>
        <item x="885"/>
        <item x="427"/>
        <item x="463"/>
        <item x="922"/>
        <item x="676"/>
        <item x="65"/>
        <item x="682"/>
        <item x="696"/>
        <item x="257"/>
        <item x="861"/>
        <item x="302"/>
        <item x="470"/>
        <item x="612"/>
        <item x="373"/>
        <item x="599"/>
        <item x="115"/>
        <item x="642"/>
        <item x="229"/>
        <item x="404"/>
        <item x="291"/>
        <item x="791"/>
        <item x="121"/>
        <item x="521"/>
        <item x="384"/>
        <item x="814"/>
        <item x="472"/>
        <item x="289"/>
        <item x="505"/>
        <item x="762"/>
        <item x="195"/>
        <item x="790"/>
        <item x="2"/>
        <item x="222"/>
        <item x="458"/>
        <item x="428"/>
        <item x="189"/>
        <item x="724"/>
        <item x="166"/>
        <item x="381"/>
        <item x="736"/>
        <item x="488"/>
        <item x="144"/>
        <item x="876"/>
        <item x="34"/>
        <item x="272"/>
        <item x="22"/>
        <item x="362"/>
        <item x="723"/>
        <item x="383"/>
        <item x="314"/>
        <item x="432"/>
        <item x="433"/>
        <item x="328"/>
        <item x="402"/>
        <item x="479"/>
        <item x="44"/>
        <item x="277"/>
        <item x="745"/>
        <item x="111"/>
        <item x="243"/>
        <item x="73"/>
        <item x="688"/>
        <item x="42"/>
        <item x="890"/>
        <item x="177"/>
        <item x="626"/>
        <item x="265"/>
        <item x="368"/>
        <item x="270"/>
        <item x="870"/>
        <item x="389"/>
        <item x="440"/>
        <item x="709"/>
        <item x="338"/>
        <item x="489"/>
        <item x="886"/>
        <item x="188"/>
        <item x="274"/>
        <item x="334"/>
        <item x="787"/>
        <item x="608"/>
        <item x="873"/>
        <item x="252"/>
        <item x="340"/>
        <item x="148"/>
        <item x="835"/>
        <item x="800"/>
        <item x="633"/>
        <item x="312"/>
        <item x="450"/>
        <item x="698"/>
        <item x="815"/>
        <item x="559"/>
        <item x="910"/>
        <item x="86"/>
        <item x="915"/>
        <item x="175"/>
        <item x="335"/>
        <item x="727"/>
        <item x="28"/>
        <item x="122"/>
        <item x="613"/>
        <item x="600"/>
        <item x="127"/>
        <item x="629"/>
        <item x="643"/>
        <item x="75"/>
        <item x="722"/>
        <item x="934"/>
        <item x="41"/>
        <item x="447"/>
        <item x="496"/>
        <item x="129"/>
        <item x="421"/>
        <item x="596"/>
        <item x="248"/>
        <item x="535"/>
        <item x="453"/>
        <item x="416"/>
        <item x="56"/>
        <item x="637"/>
        <item x="211"/>
        <item x="767"/>
        <item x="674"/>
        <item x="232"/>
        <item x="251"/>
        <item x="443"/>
        <item x="329"/>
        <item x="619"/>
        <item x="764"/>
        <item x="27"/>
        <item x="409"/>
        <item x="352"/>
        <item x="152"/>
        <item x="749"/>
        <item x="233"/>
        <item x="192"/>
        <item x="108"/>
        <item x="311"/>
        <item x="746"/>
        <item x="370"/>
        <item x="278"/>
        <item x="137"/>
        <item x="59"/>
        <item x="627"/>
        <item x="711"/>
        <item x="279"/>
        <item x="563"/>
        <item x="693"/>
        <item x="237"/>
        <item x="35"/>
        <item x="296"/>
        <item x="579"/>
        <item x="400"/>
        <item x="40"/>
        <item x="38"/>
        <item x="452"/>
        <item x="707"/>
        <item x="72"/>
        <item x="851"/>
        <item x="474"/>
        <item x="904"/>
        <item x="837"/>
        <item x="88"/>
        <item x="859"/>
        <item x="320"/>
        <item x="179"/>
        <item x="359"/>
        <item x="131"/>
        <item x="592"/>
        <item x="919"/>
        <item x="295"/>
        <item x="92"/>
        <item x="100"/>
        <item x="119"/>
        <item x="513"/>
        <item x="238"/>
        <item x="589"/>
        <item x="810"/>
        <item x="618"/>
        <item x="143"/>
        <item x="377"/>
        <item x="713"/>
        <item x="621"/>
        <item x="574"/>
        <item x="104"/>
        <item x="236"/>
        <item x="82"/>
        <item x="487"/>
        <item x="407"/>
        <item x="157"/>
        <item x="930"/>
        <item x="194"/>
        <item x="825"/>
        <item x="541"/>
        <item x="625"/>
        <item x="874"/>
        <item x="531"/>
        <item x="819"/>
        <item x="543"/>
        <item x="354"/>
        <item x="931"/>
        <item x="468"/>
        <item x="282"/>
        <item x="140"/>
        <item x="356"/>
        <item x="81"/>
        <item x="448"/>
        <item x="281"/>
        <item x="539"/>
        <item x="828"/>
        <item x="117"/>
        <item x="363"/>
        <item x="783"/>
        <item x="388"/>
        <item x="540"/>
        <item x="219"/>
        <item x="742"/>
        <item x="665"/>
        <item x="551"/>
        <item x="517"/>
        <item x="317"/>
        <item x="162"/>
        <item x="64"/>
        <item x="868"/>
        <item x="58"/>
        <item x="79"/>
        <item x="901"/>
        <item x="80"/>
        <item x="781"/>
        <item x="845"/>
        <item x="765"/>
        <item x="423"/>
        <item x="553"/>
        <item x="824"/>
        <item x="244"/>
        <item x="526"/>
        <item x="877"/>
        <item x="687"/>
        <item x="490"/>
        <item x="748"/>
        <item x="883"/>
        <item x="339"/>
        <item x="11"/>
        <item x="795"/>
        <item x="187"/>
        <item x="593"/>
        <item x="285"/>
        <item x="570"/>
        <item x="120"/>
        <item x="716"/>
        <item x="811"/>
        <item x="571"/>
        <item x="294"/>
        <item x="284"/>
        <item x="578"/>
        <item x="392"/>
        <item x="276"/>
        <item x="683"/>
        <item x="536"/>
        <item x="821"/>
        <item x="480"/>
        <item x="567"/>
        <item x="139"/>
        <item x="249"/>
        <item x="74"/>
        <item x="147"/>
        <item x="168"/>
        <item x="454"/>
        <item x="429"/>
        <item x="442"/>
        <item x="595"/>
        <item x="107"/>
        <item x="446"/>
        <item x="847"/>
        <item x="710"/>
        <item x="771"/>
        <item x="510"/>
        <item x="702"/>
        <item x="914"/>
        <item x="466"/>
        <item x="753"/>
        <item x="735"/>
        <item x="387"/>
        <item x="226"/>
        <item x="744"/>
        <item x="48"/>
        <item x="659"/>
        <item x="498"/>
        <item x="355"/>
        <item x="582"/>
        <item x="142"/>
        <item x="568"/>
        <item x="30"/>
        <item x="879"/>
        <item x="792"/>
        <item x="636"/>
        <item x="899"/>
        <item x="20"/>
        <item x="106"/>
        <item x="881"/>
        <item x="266"/>
        <item x="813"/>
        <item x="426"/>
        <item x="467"/>
        <item x="516"/>
        <item x="391"/>
        <item x="717"/>
        <item x="299"/>
        <item x="161"/>
        <item x="47"/>
        <item x="731"/>
        <item x="715"/>
        <item x="303"/>
        <item x="300"/>
        <item x="880"/>
        <item x="601"/>
        <item x="181"/>
        <item x="221"/>
        <item x="664"/>
        <item x="680"/>
        <item x="849"/>
        <item x="204"/>
        <item x="491"/>
        <item x="273"/>
        <item x="379"/>
        <item x="925"/>
        <item x="875"/>
        <item x="70"/>
        <item x="866"/>
        <item x="113"/>
        <item x="522"/>
        <item x="798"/>
        <item x="838"/>
        <item x="485"/>
        <item x="228"/>
        <item x="156"/>
        <item x="572"/>
        <item x="76"/>
        <item x="832"/>
        <item x="345"/>
        <item x="562"/>
        <item x="720"/>
        <item x="125"/>
        <item x="591"/>
        <item x="573"/>
        <item x="667"/>
        <item x="623"/>
        <item x="906"/>
        <item x="171"/>
        <item x="78"/>
        <item x="7"/>
        <item x="128"/>
        <item x="353"/>
        <item x="351"/>
        <item x="365"/>
        <item x="318"/>
        <item x="245"/>
        <item x="923"/>
        <item x="588"/>
        <item x="6"/>
        <item x="936"/>
        <item x="481"/>
        <item x="61"/>
        <item x="45"/>
        <item x="262"/>
        <item x="542"/>
        <item x="462"/>
        <item x="213"/>
        <item x="836"/>
        <item x="160"/>
        <item x="408"/>
        <item x="37"/>
        <item x="685"/>
        <item x="532"/>
        <item x="556"/>
        <item x="719"/>
        <item x="158"/>
        <item x="371"/>
        <item x="920"/>
        <item x="834"/>
        <item x="528"/>
        <item x="141"/>
        <item x="190"/>
        <item x="635"/>
        <item x="135"/>
        <item x="797"/>
        <item x="483"/>
        <item x="271"/>
        <item x="770"/>
        <item x="669"/>
        <item x="584"/>
        <item x="253"/>
        <item x="425"/>
        <item x="888"/>
        <item x="436"/>
        <item x="261"/>
        <item x="926"/>
        <item x="269"/>
        <item x="184"/>
        <item x="268"/>
        <item x="651"/>
        <item x="390"/>
        <item x="546"/>
        <item x="705"/>
        <item x="307"/>
        <item x="737"/>
        <item x="779"/>
        <item x="46"/>
        <item x="699"/>
        <item x="112"/>
        <item x="921"/>
        <item x="831"/>
        <item x="630"/>
        <item x="484"/>
        <item x="611"/>
        <item x="51"/>
        <item x="118"/>
        <item x="701"/>
        <item x="405"/>
        <item x="895"/>
        <item x="19"/>
        <item x="755"/>
        <item x="385"/>
        <item x="681"/>
        <item x="894"/>
        <item x="768"/>
        <item x="788"/>
        <item x="290"/>
        <item x="99"/>
        <item x="504"/>
        <item x="395"/>
        <item x="865"/>
        <item x="8"/>
        <item x="514"/>
        <item x="503"/>
        <item x="686"/>
        <item x="758"/>
        <item x="308"/>
        <item x="90"/>
        <item x="805"/>
        <item x="649"/>
        <item x="826"/>
        <item x="217"/>
        <item x="692"/>
        <item x="756"/>
        <item x="374"/>
        <item x="647"/>
        <item x="451"/>
        <item x="103"/>
        <item x="594"/>
        <item x="624"/>
        <item x="32"/>
        <item x="853"/>
        <item x="757"/>
        <item x="598"/>
        <item x="185"/>
        <item x="785"/>
        <item x="326"/>
        <item x="547"/>
        <item x="511"/>
        <item x="632"/>
        <item x="499"/>
        <item x="242"/>
        <item x="666"/>
        <item x="671"/>
        <item x="410"/>
        <item x="482"/>
        <item x="689"/>
        <item x="616"/>
        <item x="337"/>
        <item x="231"/>
        <item x="234"/>
        <item x="50"/>
        <item x="33"/>
        <item x="435"/>
        <item x="225"/>
        <item x="327"/>
        <item x="494"/>
        <item x="855"/>
        <item x="29"/>
        <item x="782"/>
        <item x="817"/>
        <item x="240"/>
        <item x="661"/>
        <item x="465"/>
        <item x="191"/>
        <item x="87"/>
        <item x="721"/>
        <item x="15"/>
        <item x="198"/>
        <item x="639"/>
        <item x="375"/>
        <item x="884"/>
        <item x="585"/>
        <item x="673"/>
        <item x="714"/>
        <item x="260"/>
        <item x="93"/>
        <item x="747"/>
        <item x="684"/>
        <item x="309"/>
        <item x="459"/>
        <item x="0"/>
        <item x="316"/>
        <item x="412"/>
        <item x="170"/>
        <item x="475"/>
        <item x="918"/>
        <item x="830"/>
        <item x="310"/>
        <item x="871"/>
        <item x="202"/>
        <item x="928"/>
        <item x="180"/>
        <item x="940"/>
        <item x="872"/>
        <item x="743"/>
        <item x="456"/>
        <item x="155"/>
        <item x="662"/>
        <item x="730"/>
        <item x="25"/>
        <item x="741"/>
        <item x="604"/>
        <item x="933"/>
        <item x="789"/>
        <item x="518"/>
        <item x="554"/>
        <item x="83"/>
        <item x="319"/>
        <item x="939"/>
        <item x="816"/>
        <item x="712"/>
        <item x="369"/>
        <item x="94"/>
        <item x="846"/>
        <item x="780"/>
        <item x="69"/>
        <item x="622"/>
        <item x="558"/>
        <item x="230"/>
        <item x="71"/>
        <item x="793"/>
        <item x="645"/>
        <item x="658"/>
        <item x="708"/>
        <item x="286"/>
        <item x="799"/>
        <item x="902"/>
        <item x="364"/>
        <item x="763"/>
        <item x="216"/>
        <item x="437"/>
        <item x="833"/>
        <item x="420"/>
        <item x="909"/>
        <item x="223"/>
        <item x="557"/>
        <item t="default"/>
      </items>
    </pivotField>
    <pivotField dataField="1" showAll="0"/>
    <pivotField showAll="0">
      <items count="18">
        <item x="7"/>
        <item x="1"/>
        <item x="15"/>
        <item x="12"/>
        <item x="3"/>
        <item x="13"/>
        <item x="8"/>
        <item x="9"/>
        <item x="10"/>
        <item x="4"/>
        <item x="2"/>
        <item x="11"/>
        <item x="6"/>
        <item x="5"/>
        <item x="16"/>
        <item x="0"/>
        <item x="14"/>
        <item t="default"/>
      </items>
    </pivotField>
    <pivotField showAll="0">
      <items count="3">
        <item x="0"/>
        <item x="1"/>
        <item t="default"/>
      </items>
    </pivotField>
    <pivotField showAll="0">
      <items count="4">
        <item x="2"/>
        <item x="0"/>
        <item x="1"/>
        <item t="default"/>
      </items>
    </pivotField>
    <pivotField showAll="0"/>
    <pivotField showAll="0"/>
    <pivotField showAll="0">
      <items count="13">
        <item x="1"/>
        <item x="3"/>
        <item x="5"/>
        <item x="4"/>
        <item x="9"/>
        <item x="2"/>
        <item x="11"/>
        <item x="8"/>
        <item x="10"/>
        <item x="6"/>
        <item x="7"/>
        <item x="0"/>
        <item t="default"/>
      </items>
    </pivotField>
    <pivotField showAll="0"/>
    <pivotField showAll="0"/>
    <pivotField showAll="0"/>
    <pivotField showAll="0">
      <items count="21">
        <item x="8"/>
        <item x="13"/>
        <item x="10"/>
        <item x="17"/>
        <item x="5"/>
        <item x="3"/>
        <item x="1"/>
        <item x="16"/>
        <item x="15"/>
        <item x="4"/>
        <item x="19"/>
        <item x="12"/>
        <item x="9"/>
        <item x="0"/>
        <item x="11"/>
        <item x="18"/>
        <item x="7"/>
        <item x="2"/>
        <item x="6"/>
        <item x="14"/>
        <item t="default"/>
      </items>
    </pivotField>
    <pivotField showAll="0">
      <items count="11">
        <item x="3"/>
        <item x="9"/>
        <item x="1"/>
        <item x="0"/>
        <item x="8"/>
        <item x="7"/>
        <item x="5"/>
        <item x="6"/>
        <item x="2"/>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eats_booke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070E8A-FA56-4727-8B62-21572E671F4B}" name="PivotTable17"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46:B154" firstHeaderRow="1" firstDataRow="1" firstDataCol="1"/>
  <pivotFields count="19">
    <pivotField dataField="1" showAll="0"/>
    <pivotField showAll="0"/>
    <pivotField showAll="0"/>
    <pivotField showAll="0"/>
    <pivotField numFmtId="164" showAll="0">
      <items count="943">
        <item x="775"/>
        <item x="784"/>
        <item x="60"/>
        <item x="889"/>
        <item x="341"/>
        <item x="908"/>
        <item x="54"/>
        <item x="159"/>
        <item x="461"/>
        <item x="259"/>
        <item x="802"/>
        <item x="394"/>
        <item x="344"/>
        <item x="438"/>
        <item x="924"/>
        <item x="718"/>
        <item x="609"/>
        <item x="332"/>
        <item x="827"/>
        <item x="434"/>
        <item x="500"/>
        <item x="173"/>
        <item x="577"/>
        <item x="380"/>
        <item x="898"/>
        <item x="26"/>
        <item x="418"/>
        <item x="794"/>
        <item x="896"/>
        <item x="403"/>
        <item x="200"/>
        <item x="646"/>
        <item x="587"/>
        <item x="67"/>
        <item x="929"/>
        <item x="657"/>
        <item x="186"/>
        <item x="534"/>
        <item x="869"/>
        <item x="146"/>
        <item x="31"/>
        <item x="778"/>
        <item x="856"/>
        <item x="445"/>
        <item x="258"/>
        <item x="607"/>
        <item x="256"/>
        <item x="255"/>
        <item x="502"/>
        <item x="36"/>
        <item x="512"/>
        <item x="441"/>
        <item x="580"/>
        <item x="844"/>
        <item x="937"/>
        <item x="751"/>
        <item x="415"/>
        <item x="700"/>
        <item x="863"/>
        <item x="773"/>
        <item x="150"/>
        <item x="116"/>
        <item x="297"/>
        <item x="533"/>
        <item x="897"/>
        <item x="638"/>
        <item x="398"/>
        <item x="52"/>
        <item x="761"/>
        <item x="530"/>
        <item x="602"/>
        <item x="134"/>
        <item x="840"/>
        <item x="1"/>
        <item x="903"/>
        <item x="95"/>
        <item x="550"/>
        <item x="304"/>
        <item x="564"/>
        <item x="97"/>
        <item x="891"/>
        <item x="164"/>
        <item x="13"/>
        <item x="109"/>
        <item x="640"/>
        <item x="878"/>
        <item x="581"/>
        <item x="343"/>
        <item x="728"/>
        <item x="786"/>
        <item x="900"/>
        <item x="114"/>
        <item x="357"/>
        <item x="935"/>
        <item x="53"/>
        <item x="63"/>
        <item x="275"/>
        <item x="386"/>
        <item x="858"/>
        <item x="209"/>
        <item x="3"/>
        <item x="887"/>
        <item x="39"/>
        <item x="330"/>
        <item x="460"/>
        <item x="331"/>
        <item x="24"/>
        <item x="912"/>
        <item x="208"/>
        <item x="854"/>
        <item x="288"/>
        <item x="648"/>
        <item x="12"/>
        <item x="89"/>
        <item x="201"/>
        <item x="523"/>
        <item x="555"/>
        <item x="508"/>
        <item x="325"/>
        <item x="174"/>
        <item x="298"/>
        <item x="610"/>
        <item x="938"/>
        <item x="852"/>
        <item x="569"/>
        <item x="738"/>
        <item x="197"/>
        <item x="283"/>
        <item x="561"/>
        <item x="138"/>
        <item x="149"/>
        <item x="725"/>
        <item x="812"/>
        <item x="105"/>
        <item x="860"/>
        <item x="424"/>
        <item x="315"/>
        <item x="382"/>
        <item x="916"/>
        <item x="333"/>
        <item x="527"/>
        <item x="196"/>
        <item x="287"/>
        <item x="808"/>
        <item x="301"/>
        <item x="576"/>
        <item x="729"/>
        <item x="145"/>
        <item x="694"/>
        <item x="215"/>
        <item x="620"/>
        <item x="85"/>
        <item x="239"/>
        <item x="703"/>
        <item x="506"/>
        <item x="123"/>
        <item x="907"/>
        <item x="842"/>
        <item x="199"/>
        <item x="406"/>
        <item x="227"/>
        <item x="548"/>
        <item x="841"/>
        <item x="98"/>
        <item x="759"/>
        <item x="246"/>
        <item x="167"/>
        <item x="57"/>
        <item x="732"/>
        <item x="220"/>
        <item x="21"/>
        <item x="172"/>
        <item x="804"/>
        <item x="419"/>
        <item x="848"/>
        <item x="91"/>
        <item x="650"/>
        <item x="734"/>
        <item x="566"/>
        <item x="102"/>
        <item x="414"/>
        <item x="430"/>
        <item x="372"/>
        <item x="10"/>
        <item x="917"/>
        <item x="583"/>
        <item x="691"/>
        <item x="754"/>
        <item x="867"/>
        <item x="110"/>
        <item x="631"/>
        <item x="153"/>
        <item x="151"/>
        <item x="241"/>
        <item x="323"/>
        <item x="23"/>
        <item x="163"/>
        <item x="733"/>
        <item x="818"/>
        <item x="293"/>
        <item x="552"/>
        <item x="495"/>
        <item x="706"/>
        <item x="397"/>
        <item x="477"/>
        <item x="519"/>
        <item x="704"/>
        <item x="697"/>
        <item x="322"/>
        <item x="809"/>
        <item x="690"/>
        <item x="124"/>
        <item x="668"/>
        <item x="672"/>
        <item x="305"/>
        <item x="5"/>
        <item x="360"/>
        <item x="350"/>
        <item x="473"/>
        <item x="549"/>
        <item x="399"/>
        <item x="614"/>
        <item x="347"/>
        <item x="66"/>
        <item x="280"/>
        <item x="212"/>
        <item x="606"/>
        <item x="760"/>
        <item x="133"/>
        <item x="411"/>
        <item x="660"/>
        <item x="210"/>
        <item x="471"/>
        <item x="264"/>
        <item x="18"/>
        <item x="905"/>
        <item x="224"/>
        <item x="235"/>
        <item x="250"/>
        <item x="520"/>
        <item x="675"/>
        <item x="628"/>
        <item x="292"/>
        <item x="439"/>
        <item x="653"/>
        <item x="941"/>
        <item x="822"/>
        <item x="820"/>
        <item x="49"/>
        <item x="455"/>
        <item x="154"/>
        <item x="806"/>
        <item x="55"/>
        <item x="165"/>
        <item x="911"/>
        <item x="695"/>
        <item x="560"/>
        <item x="801"/>
        <item x="670"/>
        <item x="652"/>
        <item x="342"/>
        <item x="655"/>
        <item x="769"/>
        <item x="422"/>
        <item x="9"/>
        <item x="644"/>
        <item x="807"/>
        <item x="776"/>
        <item x="927"/>
        <item x="913"/>
        <item x="739"/>
        <item x="605"/>
        <item x="766"/>
        <item x="515"/>
        <item x="84"/>
        <item x="62"/>
        <item x="16"/>
        <item x="396"/>
        <item x="663"/>
        <item x="178"/>
        <item x="346"/>
        <item x="862"/>
        <item x="336"/>
        <item x="829"/>
        <item x="538"/>
        <item x="132"/>
        <item x="882"/>
        <item x="358"/>
        <item x="413"/>
        <item x="857"/>
        <item x="306"/>
        <item x="524"/>
        <item x="509"/>
        <item x="507"/>
        <item x="544"/>
        <item x="349"/>
        <item x="203"/>
        <item x="176"/>
        <item x="378"/>
        <item x="501"/>
        <item x="565"/>
        <item x="603"/>
        <item x="492"/>
        <item x="864"/>
        <item x="726"/>
        <item x="101"/>
        <item x="130"/>
        <item x="476"/>
        <item x="254"/>
        <item x="77"/>
        <item x="324"/>
        <item x="486"/>
        <item x="772"/>
        <item x="796"/>
        <item x="850"/>
        <item x="597"/>
        <item x="136"/>
        <item x="321"/>
        <item x="366"/>
        <item x="4"/>
        <item x="843"/>
        <item x="750"/>
        <item x="740"/>
        <item x="367"/>
        <item x="892"/>
        <item x="497"/>
        <item x="545"/>
        <item x="193"/>
        <item x="96"/>
        <item x="932"/>
        <item x="218"/>
        <item x="14"/>
        <item x="656"/>
        <item x="313"/>
        <item x="207"/>
        <item x="214"/>
        <item x="893"/>
        <item x="493"/>
        <item x="348"/>
        <item x="43"/>
        <item x="634"/>
        <item x="126"/>
        <item x="525"/>
        <item x="529"/>
        <item x="839"/>
        <item x="444"/>
        <item x="575"/>
        <item x="464"/>
        <item x="590"/>
        <item x="247"/>
        <item x="205"/>
        <item x="679"/>
        <item x="469"/>
        <item x="478"/>
        <item x="677"/>
        <item x="641"/>
        <item x="206"/>
        <item x="449"/>
        <item x="823"/>
        <item x="537"/>
        <item x="678"/>
        <item x="17"/>
        <item x="615"/>
        <item x="617"/>
        <item x="393"/>
        <item x="183"/>
        <item x="182"/>
        <item x="267"/>
        <item x="169"/>
        <item x="774"/>
        <item x="457"/>
        <item x="803"/>
        <item x="586"/>
        <item x="263"/>
        <item x="361"/>
        <item x="401"/>
        <item x="68"/>
        <item x="752"/>
        <item x="376"/>
        <item x="431"/>
        <item x="417"/>
        <item x="777"/>
        <item x="654"/>
        <item x="885"/>
        <item x="427"/>
        <item x="463"/>
        <item x="922"/>
        <item x="676"/>
        <item x="65"/>
        <item x="682"/>
        <item x="696"/>
        <item x="257"/>
        <item x="861"/>
        <item x="302"/>
        <item x="470"/>
        <item x="612"/>
        <item x="373"/>
        <item x="599"/>
        <item x="115"/>
        <item x="642"/>
        <item x="229"/>
        <item x="404"/>
        <item x="291"/>
        <item x="791"/>
        <item x="121"/>
        <item x="521"/>
        <item x="384"/>
        <item x="814"/>
        <item x="472"/>
        <item x="289"/>
        <item x="505"/>
        <item x="762"/>
        <item x="195"/>
        <item x="790"/>
        <item x="2"/>
        <item x="222"/>
        <item x="458"/>
        <item x="428"/>
        <item x="189"/>
        <item x="724"/>
        <item x="166"/>
        <item x="381"/>
        <item x="736"/>
        <item x="488"/>
        <item x="144"/>
        <item x="876"/>
        <item x="34"/>
        <item x="272"/>
        <item x="22"/>
        <item x="362"/>
        <item x="723"/>
        <item x="383"/>
        <item x="314"/>
        <item x="432"/>
        <item x="433"/>
        <item x="328"/>
        <item x="402"/>
        <item x="479"/>
        <item x="44"/>
        <item x="277"/>
        <item x="745"/>
        <item x="111"/>
        <item x="243"/>
        <item x="73"/>
        <item x="688"/>
        <item x="42"/>
        <item x="890"/>
        <item x="177"/>
        <item x="626"/>
        <item x="265"/>
        <item x="368"/>
        <item x="270"/>
        <item x="870"/>
        <item x="389"/>
        <item x="440"/>
        <item x="709"/>
        <item x="338"/>
        <item x="489"/>
        <item x="886"/>
        <item x="188"/>
        <item x="274"/>
        <item x="334"/>
        <item x="787"/>
        <item x="608"/>
        <item x="873"/>
        <item x="252"/>
        <item x="340"/>
        <item x="148"/>
        <item x="835"/>
        <item x="800"/>
        <item x="633"/>
        <item x="312"/>
        <item x="450"/>
        <item x="698"/>
        <item x="815"/>
        <item x="559"/>
        <item x="910"/>
        <item x="86"/>
        <item x="915"/>
        <item x="175"/>
        <item x="335"/>
        <item x="727"/>
        <item x="28"/>
        <item x="122"/>
        <item x="613"/>
        <item x="600"/>
        <item x="127"/>
        <item x="629"/>
        <item x="643"/>
        <item x="75"/>
        <item x="722"/>
        <item x="934"/>
        <item x="41"/>
        <item x="447"/>
        <item x="496"/>
        <item x="129"/>
        <item x="421"/>
        <item x="596"/>
        <item x="248"/>
        <item x="535"/>
        <item x="453"/>
        <item x="416"/>
        <item x="56"/>
        <item x="637"/>
        <item x="211"/>
        <item x="767"/>
        <item x="674"/>
        <item x="232"/>
        <item x="251"/>
        <item x="443"/>
        <item x="329"/>
        <item x="619"/>
        <item x="764"/>
        <item x="27"/>
        <item x="409"/>
        <item x="352"/>
        <item x="152"/>
        <item x="749"/>
        <item x="233"/>
        <item x="192"/>
        <item x="108"/>
        <item x="311"/>
        <item x="746"/>
        <item x="370"/>
        <item x="278"/>
        <item x="137"/>
        <item x="59"/>
        <item x="627"/>
        <item x="711"/>
        <item x="279"/>
        <item x="563"/>
        <item x="693"/>
        <item x="237"/>
        <item x="35"/>
        <item x="296"/>
        <item x="579"/>
        <item x="400"/>
        <item x="40"/>
        <item x="38"/>
        <item x="452"/>
        <item x="707"/>
        <item x="72"/>
        <item x="851"/>
        <item x="474"/>
        <item x="904"/>
        <item x="837"/>
        <item x="88"/>
        <item x="859"/>
        <item x="320"/>
        <item x="179"/>
        <item x="359"/>
        <item x="131"/>
        <item x="592"/>
        <item x="919"/>
        <item x="295"/>
        <item x="92"/>
        <item x="100"/>
        <item x="119"/>
        <item x="513"/>
        <item x="238"/>
        <item x="589"/>
        <item x="810"/>
        <item x="618"/>
        <item x="143"/>
        <item x="377"/>
        <item x="713"/>
        <item x="621"/>
        <item x="574"/>
        <item x="104"/>
        <item x="236"/>
        <item x="82"/>
        <item x="487"/>
        <item x="407"/>
        <item x="157"/>
        <item x="930"/>
        <item x="194"/>
        <item x="825"/>
        <item x="541"/>
        <item x="625"/>
        <item x="874"/>
        <item x="531"/>
        <item x="819"/>
        <item x="543"/>
        <item x="354"/>
        <item x="931"/>
        <item x="468"/>
        <item x="282"/>
        <item x="140"/>
        <item x="356"/>
        <item x="81"/>
        <item x="448"/>
        <item x="281"/>
        <item x="539"/>
        <item x="828"/>
        <item x="117"/>
        <item x="363"/>
        <item x="783"/>
        <item x="388"/>
        <item x="540"/>
        <item x="219"/>
        <item x="742"/>
        <item x="665"/>
        <item x="551"/>
        <item x="517"/>
        <item x="317"/>
        <item x="162"/>
        <item x="64"/>
        <item x="868"/>
        <item x="58"/>
        <item x="79"/>
        <item x="901"/>
        <item x="80"/>
        <item x="781"/>
        <item x="845"/>
        <item x="765"/>
        <item x="423"/>
        <item x="553"/>
        <item x="824"/>
        <item x="244"/>
        <item x="526"/>
        <item x="877"/>
        <item x="687"/>
        <item x="490"/>
        <item x="748"/>
        <item x="883"/>
        <item x="339"/>
        <item x="11"/>
        <item x="795"/>
        <item x="187"/>
        <item x="593"/>
        <item x="285"/>
        <item x="570"/>
        <item x="120"/>
        <item x="716"/>
        <item x="811"/>
        <item x="571"/>
        <item x="294"/>
        <item x="284"/>
        <item x="578"/>
        <item x="392"/>
        <item x="276"/>
        <item x="683"/>
        <item x="536"/>
        <item x="821"/>
        <item x="480"/>
        <item x="567"/>
        <item x="139"/>
        <item x="249"/>
        <item x="74"/>
        <item x="147"/>
        <item x="168"/>
        <item x="454"/>
        <item x="429"/>
        <item x="442"/>
        <item x="595"/>
        <item x="107"/>
        <item x="446"/>
        <item x="847"/>
        <item x="710"/>
        <item x="771"/>
        <item x="510"/>
        <item x="702"/>
        <item x="914"/>
        <item x="466"/>
        <item x="753"/>
        <item x="735"/>
        <item x="387"/>
        <item x="226"/>
        <item x="744"/>
        <item x="48"/>
        <item x="659"/>
        <item x="498"/>
        <item x="355"/>
        <item x="582"/>
        <item x="142"/>
        <item x="568"/>
        <item x="30"/>
        <item x="879"/>
        <item x="792"/>
        <item x="636"/>
        <item x="899"/>
        <item x="20"/>
        <item x="106"/>
        <item x="881"/>
        <item x="266"/>
        <item x="813"/>
        <item x="426"/>
        <item x="467"/>
        <item x="516"/>
        <item x="391"/>
        <item x="717"/>
        <item x="299"/>
        <item x="161"/>
        <item x="47"/>
        <item x="731"/>
        <item x="715"/>
        <item x="303"/>
        <item x="300"/>
        <item x="880"/>
        <item x="601"/>
        <item x="181"/>
        <item x="221"/>
        <item x="664"/>
        <item x="680"/>
        <item x="849"/>
        <item x="204"/>
        <item x="491"/>
        <item x="273"/>
        <item x="379"/>
        <item x="925"/>
        <item x="875"/>
        <item x="70"/>
        <item x="866"/>
        <item x="113"/>
        <item x="522"/>
        <item x="798"/>
        <item x="838"/>
        <item x="485"/>
        <item x="228"/>
        <item x="156"/>
        <item x="572"/>
        <item x="76"/>
        <item x="832"/>
        <item x="345"/>
        <item x="562"/>
        <item x="720"/>
        <item x="125"/>
        <item x="591"/>
        <item x="573"/>
        <item x="667"/>
        <item x="623"/>
        <item x="906"/>
        <item x="171"/>
        <item x="78"/>
        <item x="7"/>
        <item x="128"/>
        <item x="353"/>
        <item x="351"/>
        <item x="365"/>
        <item x="318"/>
        <item x="245"/>
        <item x="923"/>
        <item x="588"/>
        <item x="6"/>
        <item x="936"/>
        <item x="481"/>
        <item x="61"/>
        <item x="45"/>
        <item x="262"/>
        <item x="542"/>
        <item x="462"/>
        <item x="213"/>
        <item x="836"/>
        <item x="160"/>
        <item x="408"/>
        <item x="37"/>
        <item x="685"/>
        <item x="532"/>
        <item x="556"/>
        <item x="719"/>
        <item x="158"/>
        <item x="371"/>
        <item x="920"/>
        <item x="834"/>
        <item x="528"/>
        <item x="141"/>
        <item x="190"/>
        <item x="635"/>
        <item x="135"/>
        <item x="797"/>
        <item x="483"/>
        <item x="271"/>
        <item x="770"/>
        <item x="669"/>
        <item x="584"/>
        <item x="253"/>
        <item x="425"/>
        <item x="888"/>
        <item x="436"/>
        <item x="261"/>
        <item x="926"/>
        <item x="269"/>
        <item x="184"/>
        <item x="268"/>
        <item x="651"/>
        <item x="390"/>
        <item x="546"/>
        <item x="705"/>
        <item x="307"/>
        <item x="737"/>
        <item x="779"/>
        <item x="46"/>
        <item x="699"/>
        <item x="112"/>
        <item x="921"/>
        <item x="831"/>
        <item x="630"/>
        <item x="484"/>
        <item x="611"/>
        <item x="51"/>
        <item x="118"/>
        <item x="701"/>
        <item x="405"/>
        <item x="895"/>
        <item x="19"/>
        <item x="755"/>
        <item x="385"/>
        <item x="681"/>
        <item x="894"/>
        <item x="768"/>
        <item x="788"/>
        <item x="290"/>
        <item x="99"/>
        <item x="504"/>
        <item x="395"/>
        <item x="865"/>
        <item x="8"/>
        <item x="514"/>
        <item x="503"/>
        <item x="686"/>
        <item x="758"/>
        <item x="308"/>
        <item x="90"/>
        <item x="805"/>
        <item x="649"/>
        <item x="826"/>
        <item x="217"/>
        <item x="692"/>
        <item x="756"/>
        <item x="374"/>
        <item x="647"/>
        <item x="451"/>
        <item x="103"/>
        <item x="594"/>
        <item x="624"/>
        <item x="32"/>
        <item x="853"/>
        <item x="757"/>
        <item x="598"/>
        <item x="185"/>
        <item x="785"/>
        <item x="326"/>
        <item x="547"/>
        <item x="511"/>
        <item x="632"/>
        <item x="499"/>
        <item x="242"/>
        <item x="666"/>
        <item x="671"/>
        <item x="410"/>
        <item x="482"/>
        <item x="689"/>
        <item x="616"/>
        <item x="337"/>
        <item x="231"/>
        <item x="234"/>
        <item x="50"/>
        <item x="33"/>
        <item x="435"/>
        <item x="225"/>
        <item x="327"/>
        <item x="494"/>
        <item x="855"/>
        <item x="29"/>
        <item x="782"/>
        <item x="817"/>
        <item x="240"/>
        <item x="661"/>
        <item x="465"/>
        <item x="191"/>
        <item x="87"/>
        <item x="721"/>
        <item x="15"/>
        <item x="198"/>
        <item x="639"/>
        <item x="375"/>
        <item x="884"/>
        <item x="585"/>
        <item x="673"/>
        <item x="714"/>
        <item x="260"/>
        <item x="93"/>
        <item x="747"/>
        <item x="684"/>
        <item x="309"/>
        <item x="459"/>
        <item x="0"/>
        <item x="316"/>
        <item x="412"/>
        <item x="170"/>
        <item x="475"/>
        <item x="918"/>
        <item x="830"/>
        <item x="310"/>
        <item x="871"/>
        <item x="202"/>
        <item x="928"/>
        <item x="180"/>
        <item x="940"/>
        <item x="872"/>
        <item x="743"/>
        <item x="456"/>
        <item x="155"/>
        <item x="662"/>
        <item x="730"/>
        <item x="25"/>
        <item x="741"/>
        <item x="604"/>
        <item x="933"/>
        <item x="789"/>
        <item x="518"/>
        <item x="554"/>
        <item x="83"/>
        <item x="319"/>
        <item x="939"/>
        <item x="816"/>
        <item x="712"/>
        <item x="369"/>
        <item x="94"/>
        <item x="846"/>
        <item x="780"/>
        <item x="69"/>
        <item x="622"/>
        <item x="558"/>
        <item x="230"/>
        <item x="71"/>
        <item x="793"/>
        <item x="645"/>
        <item x="658"/>
        <item x="708"/>
        <item x="286"/>
        <item x="799"/>
        <item x="902"/>
        <item x="364"/>
        <item x="763"/>
        <item x="216"/>
        <item x="437"/>
        <item x="833"/>
        <item x="420"/>
        <item x="909"/>
        <item x="223"/>
        <item x="557"/>
        <item t="default"/>
      </items>
    </pivotField>
    <pivotField showAll="0"/>
    <pivotField showAll="0">
      <items count="18">
        <item x="7"/>
        <item x="1"/>
        <item x="15"/>
        <item x="12"/>
        <item x="3"/>
        <item x="13"/>
        <item x="8"/>
        <item x="9"/>
        <item x="10"/>
        <item x="4"/>
        <item x="2"/>
        <item x="11"/>
        <item x="6"/>
        <item x="5"/>
        <item x="16"/>
        <item x="0"/>
        <item x="14"/>
        <item t="default"/>
      </items>
    </pivotField>
    <pivotField showAll="0">
      <items count="3">
        <item x="0"/>
        <item x="1"/>
        <item t="default"/>
      </items>
    </pivotField>
    <pivotField showAll="0">
      <items count="4">
        <item x="2"/>
        <item x="0"/>
        <item x="1"/>
        <item t="default"/>
      </items>
    </pivotField>
    <pivotField showAll="0"/>
    <pivotField showAll="0"/>
    <pivotField showAll="0">
      <items count="13">
        <item x="1"/>
        <item x="3"/>
        <item x="5"/>
        <item x="4"/>
        <item x="9"/>
        <item x="2"/>
        <item x="11"/>
        <item x="8"/>
        <item x="10"/>
        <item x="6"/>
        <item x="7"/>
        <item x="0"/>
        <item t="default"/>
      </items>
    </pivotField>
    <pivotField showAll="0"/>
    <pivotField axis="axisRow" showAll="0" sortType="descending">
      <items count="8">
        <item x="2"/>
        <item x="3"/>
        <item x="4"/>
        <item x="0"/>
        <item x="5"/>
        <item x="6"/>
        <item x="1"/>
        <item t="default"/>
      </items>
      <autoSortScope>
        <pivotArea dataOnly="0" outline="0" fieldPosition="0">
          <references count="1">
            <reference field="4294967294" count="1" selected="0">
              <x v="0"/>
            </reference>
          </references>
        </pivotArea>
      </autoSortScope>
    </pivotField>
    <pivotField showAll="0"/>
    <pivotField showAll="0">
      <items count="21">
        <item x="8"/>
        <item x="13"/>
        <item x="10"/>
        <item x="17"/>
        <item x="5"/>
        <item x="3"/>
        <item x="1"/>
        <item x="16"/>
        <item x="15"/>
        <item x="4"/>
        <item x="19"/>
        <item x="12"/>
        <item x="9"/>
        <item x="0"/>
        <item x="11"/>
        <item x="18"/>
        <item x="7"/>
        <item x="2"/>
        <item x="6"/>
        <item x="14"/>
        <item t="default"/>
      </items>
    </pivotField>
    <pivotField showAll="0">
      <items count="11">
        <item x="3"/>
        <item x="9"/>
        <item x="1"/>
        <item x="0"/>
        <item x="8"/>
        <item x="7"/>
        <item x="5"/>
        <item x="6"/>
        <item x="2"/>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8">
    <i>
      <x v="4"/>
    </i>
    <i>
      <x v="6"/>
    </i>
    <i>
      <x/>
    </i>
    <i>
      <x v="2"/>
    </i>
    <i>
      <x v="3"/>
    </i>
    <i>
      <x v="5"/>
    </i>
    <i>
      <x v="1"/>
    </i>
    <i t="grand">
      <x/>
    </i>
  </rowItems>
  <colItems count="1">
    <i/>
  </colItems>
  <dataFields count="1">
    <dataField name="Count of booking_id" fld="0" subtotal="count" baseField="13"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264B85-7DED-42BB-8917-BCCB4B16CDFE}" name="PivotTable1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63:B67" firstHeaderRow="1" firstDataRow="1" firstDataCol="1"/>
  <pivotFields count="19">
    <pivotField dataField="1" showAll="0"/>
    <pivotField showAll="0"/>
    <pivotField showAll="0"/>
    <pivotField showAll="0"/>
    <pivotField numFmtId="164" showAll="0">
      <items count="943">
        <item x="775"/>
        <item x="784"/>
        <item x="60"/>
        <item x="889"/>
        <item x="341"/>
        <item x="908"/>
        <item x="54"/>
        <item x="159"/>
        <item x="461"/>
        <item x="259"/>
        <item x="802"/>
        <item x="394"/>
        <item x="344"/>
        <item x="438"/>
        <item x="924"/>
        <item x="718"/>
        <item x="609"/>
        <item x="332"/>
        <item x="827"/>
        <item x="434"/>
        <item x="500"/>
        <item x="173"/>
        <item x="577"/>
        <item x="380"/>
        <item x="898"/>
        <item x="26"/>
        <item x="418"/>
        <item x="794"/>
        <item x="896"/>
        <item x="403"/>
        <item x="200"/>
        <item x="646"/>
        <item x="587"/>
        <item x="67"/>
        <item x="929"/>
        <item x="657"/>
        <item x="186"/>
        <item x="534"/>
        <item x="869"/>
        <item x="146"/>
        <item x="31"/>
        <item x="778"/>
        <item x="856"/>
        <item x="445"/>
        <item x="258"/>
        <item x="607"/>
        <item x="256"/>
        <item x="255"/>
        <item x="502"/>
        <item x="36"/>
        <item x="512"/>
        <item x="441"/>
        <item x="580"/>
        <item x="844"/>
        <item x="937"/>
        <item x="751"/>
        <item x="415"/>
        <item x="700"/>
        <item x="863"/>
        <item x="773"/>
        <item x="150"/>
        <item x="116"/>
        <item x="297"/>
        <item x="533"/>
        <item x="897"/>
        <item x="638"/>
        <item x="398"/>
        <item x="52"/>
        <item x="761"/>
        <item x="530"/>
        <item x="602"/>
        <item x="134"/>
        <item x="840"/>
        <item x="1"/>
        <item x="903"/>
        <item x="95"/>
        <item x="550"/>
        <item x="304"/>
        <item x="564"/>
        <item x="97"/>
        <item x="891"/>
        <item x="164"/>
        <item x="13"/>
        <item x="109"/>
        <item x="640"/>
        <item x="878"/>
        <item x="581"/>
        <item x="343"/>
        <item x="728"/>
        <item x="786"/>
        <item x="900"/>
        <item x="114"/>
        <item x="357"/>
        <item x="935"/>
        <item x="53"/>
        <item x="63"/>
        <item x="275"/>
        <item x="386"/>
        <item x="858"/>
        <item x="209"/>
        <item x="3"/>
        <item x="887"/>
        <item x="39"/>
        <item x="330"/>
        <item x="460"/>
        <item x="331"/>
        <item x="24"/>
        <item x="912"/>
        <item x="208"/>
        <item x="854"/>
        <item x="288"/>
        <item x="648"/>
        <item x="12"/>
        <item x="89"/>
        <item x="201"/>
        <item x="523"/>
        <item x="555"/>
        <item x="508"/>
        <item x="325"/>
        <item x="174"/>
        <item x="298"/>
        <item x="610"/>
        <item x="938"/>
        <item x="852"/>
        <item x="569"/>
        <item x="738"/>
        <item x="197"/>
        <item x="283"/>
        <item x="561"/>
        <item x="138"/>
        <item x="149"/>
        <item x="725"/>
        <item x="812"/>
        <item x="105"/>
        <item x="860"/>
        <item x="424"/>
        <item x="315"/>
        <item x="382"/>
        <item x="916"/>
        <item x="333"/>
        <item x="527"/>
        <item x="196"/>
        <item x="287"/>
        <item x="808"/>
        <item x="301"/>
        <item x="576"/>
        <item x="729"/>
        <item x="145"/>
        <item x="694"/>
        <item x="215"/>
        <item x="620"/>
        <item x="85"/>
        <item x="239"/>
        <item x="703"/>
        <item x="506"/>
        <item x="123"/>
        <item x="907"/>
        <item x="842"/>
        <item x="199"/>
        <item x="406"/>
        <item x="227"/>
        <item x="548"/>
        <item x="841"/>
        <item x="98"/>
        <item x="759"/>
        <item x="246"/>
        <item x="167"/>
        <item x="57"/>
        <item x="732"/>
        <item x="220"/>
        <item x="21"/>
        <item x="172"/>
        <item x="804"/>
        <item x="419"/>
        <item x="848"/>
        <item x="91"/>
        <item x="650"/>
        <item x="734"/>
        <item x="566"/>
        <item x="102"/>
        <item x="414"/>
        <item x="430"/>
        <item x="372"/>
        <item x="10"/>
        <item x="917"/>
        <item x="583"/>
        <item x="691"/>
        <item x="754"/>
        <item x="867"/>
        <item x="110"/>
        <item x="631"/>
        <item x="153"/>
        <item x="151"/>
        <item x="241"/>
        <item x="323"/>
        <item x="23"/>
        <item x="163"/>
        <item x="733"/>
        <item x="818"/>
        <item x="293"/>
        <item x="552"/>
        <item x="495"/>
        <item x="706"/>
        <item x="397"/>
        <item x="477"/>
        <item x="519"/>
        <item x="704"/>
        <item x="697"/>
        <item x="322"/>
        <item x="809"/>
        <item x="690"/>
        <item x="124"/>
        <item x="668"/>
        <item x="672"/>
        <item x="305"/>
        <item x="5"/>
        <item x="360"/>
        <item x="350"/>
        <item x="473"/>
        <item x="549"/>
        <item x="399"/>
        <item x="614"/>
        <item x="347"/>
        <item x="66"/>
        <item x="280"/>
        <item x="212"/>
        <item x="606"/>
        <item x="760"/>
        <item x="133"/>
        <item x="411"/>
        <item x="660"/>
        <item x="210"/>
        <item x="471"/>
        <item x="264"/>
        <item x="18"/>
        <item x="905"/>
        <item x="224"/>
        <item x="235"/>
        <item x="250"/>
        <item x="520"/>
        <item x="675"/>
        <item x="628"/>
        <item x="292"/>
        <item x="439"/>
        <item x="653"/>
        <item x="941"/>
        <item x="822"/>
        <item x="820"/>
        <item x="49"/>
        <item x="455"/>
        <item x="154"/>
        <item x="806"/>
        <item x="55"/>
        <item x="165"/>
        <item x="911"/>
        <item x="695"/>
        <item x="560"/>
        <item x="801"/>
        <item x="670"/>
        <item x="652"/>
        <item x="342"/>
        <item x="655"/>
        <item x="769"/>
        <item x="422"/>
        <item x="9"/>
        <item x="644"/>
        <item x="807"/>
        <item x="776"/>
        <item x="927"/>
        <item x="913"/>
        <item x="739"/>
        <item x="605"/>
        <item x="766"/>
        <item x="515"/>
        <item x="84"/>
        <item x="62"/>
        <item x="16"/>
        <item x="396"/>
        <item x="663"/>
        <item x="178"/>
        <item x="346"/>
        <item x="862"/>
        <item x="336"/>
        <item x="829"/>
        <item x="538"/>
        <item x="132"/>
        <item x="882"/>
        <item x="358"/>
        <item x="413"/>
        <item x="857"/>
        <item x="306"/>
        <item x="524"/>
        <item x="509"/>
        <item x="507"/>
        <item x="544"/>
        <item x="349"/>
        <item x="203"/>
        <item x="176"/>
        <item x="378"/>
        <item x="501"/>
        <item x="565"/>
        <item x="603"/>
        <item x="492"/>
        <item x="864"/>
        <item x="726"/>
        <item x="101"/>
        <item x="130"/>
        <item x="476"/>
        <item x="254"/>
        <item x="77"/>
        <item x="324"/>
        <item x="486"/>
        <item x="772"/>
        <item x="796"/>
        <item x="850"/>
        <item x="597"/>
        <item x="136"/>
        <item x="321"/>
        <item x="366"/>
        <item x="4"/>
        <item x="843"/>
        <item x="750"/>
        <item x="740"/>
        <item x="367"/>
        <item x="892"/>
        <item x="497"/>
        <item x="545"/>
        <item x="193"/>
        <item x="96"/>
        <item x="932"/>
        <item x="218"/>
        <item x="14"/>
        <item x="656"/>
        <item x="313"/>
        <item x="207"/>
        <item x="214"/>
        <item x="893"/>
        <item x="493"/>
        <item x="348"/>
        <item x="43"/>
        <item x="634"/>
        <item x="126"/>
        <item x="525"/>
        <item x="529"/>
        <item x="839"/>
        <item x="444"/>
        <item x="575"/>
        <item x="464"/>
        <item x="590"/>
        <item x="247"/>
        <item x="205"/>
        <item x="679"/>
        <item x="469"/>
        <item x="478"/>
        <item x="677"/>
        <item x="641"/>
        <item x="206"/>
        <item x="449"/>
        <item x="823"/>
        <item x="537"/>
        <item x="678"/>
        <item x="17"/>
        <item x="615"/>
        <item x="617"/>
        <item x="393"/>
        <item x="183"/>
        <item x="182"/>
        <item x="267"/>
        <item x="169"/>
        <item x="774"/>
        <item x="457"/>
        <item x="803"/>
        <item x="586"/>
        <item x="263"/>
        <item x="361"/>
        <item x="401"/>
        <item x="68"/>
        <item x="752"/>
        <item x="376"/>
        <item x="431"/>
        <item x="417"/>
        <item x="777"/>
        <item x="654"/>
        <item x="885"/>
        <item x="427"/>
        <item x="463"/>
        <item x="922"/>
        <item x="676"/>
        <item x="65"/>
        <item x="682"/>
        <item x="696"/>
        <item x="257"/>
        <item x="861"/>
        <item x="302"/>
        <item x="470"/>
        <item x="612"/>
        <item x="373"/>
        <item x="599"/>
        <item x="115"/>
        <item x="642"/>
        <item x="229"/>
        <item x="404"/>
        <item x="291"/>
        <item x="791"/>
        <item x="121"/>
        <item x="521"/>
        <item x="384"/>
        <item x="814"/>
        <item x="472"/>
        <item x="289"/>
        <item x="505"/>
        <item x="762"/>
        <item x="195"/>
        <item x="790"/>
        <item x="2"/>
        <item x="222"/>
        <item x="458"/>
        <item x="428"/>
        <item x="189"/>
        <item x="724"/>
        <item x="166"/>
        <item x="381"/>
        <item x="736"/>
        <item x="488"/>
        <item x="144"/>
        <item x="876"/>
        <item x="34"/>
        <item x="272"/>
        <item x="22"/>
        <item x="362"/>
        <item x="723"/>
        <item x="383"/>
        <item x="314"/>
        <item x="432"/>
        <item x="433"/>
        <item x="328"/>
        <item x="402"/>
        <item x="479"/>
        <item x="44"/>
        <item x="277"/>
        <item x="745"/>
        <item x="111"/>
        <item x="243"/>
        <item x="73"/>
        <item x="688"/>
        <item x="42"/>
        <item x="890"/>
        <item x="177"/>
        <item x="626"/>
        <item x="265"/>
        <item x="368"/>
        <item x="270"/>
        <item x="870"/>
        <item x="389"/>
        <item x="440"/>
        <item x="709"/>
        <item x="338"/>
        <item x="489"/>
        <item x="886"/>
        <item x="188"/>
        <item x="274"/>
        <item x="334"/>
        <item x="787"/>
        <item x="608"/>
        <item x="873"/>
        <item x="252"/>
        <item x="340"/>
        <item x="148"/>
        <item x="835"/>
        <item x="800"/>
        <item x="633"/>
        <item x="312"/>
        <item x="450"/>
        <item x="698"/>
        <item x="815"/>
        <item x="559"/>
        <item x="910"/>
        <item x="86"/>
        <item x="915"/>
        <item x="175"/>
        <item x="335"/>
        <item x="727"/>
        <item x="28"/>
        <item x="122"/>
        <item x="613"/>
        <item x="600"/>
        <item x="127"/>
        <item x="629"/>
        <item x="643"/>
        <item x="75"/>
        <item x="722"/>
        <item x="934"/>
        <item x="41"/>
        <item x="447"/>
        <item x="496"/>
        <item x="129"/>
        <item x="421"/>
        <item x="596"/>
        <item x="248"/>
        <item x="535"/>
        <item x="453"/>
        <item x="416"/>
        <item x="56"/>
        <item x="637"/>
        <item x="211"/>
        <item x="767"/>
        <item x="674"/>
        <item x="232"/>
        <item x="251"/>
        <item x="443"/>
        <item x="329"/>
        <item x="619"/>
        <item x="764"/>
        <item x="27"/>
        <item x="409"/>
        <item x="352"/>
        <item x="152"/>
        <item x="749"/>
        <item x="233"/>
        <item x="192"/>
        <item x="108"/>
        <item x="311"/>
        <item x="746"/>
        <item x="370"/>
        <item x="278"/>
        <item x="137"/>
        <item x="59"/>
        <item x="627"/>
        <item x="711"/>
        <item x="279"/>
        <item x="563"/>
        <item x="693"/>
        <item x="237"/>
        <item x="35"/>
        <item x="296"/>
        <item x="579"/>
        <item x="400"/>
        <item x="40"/>
        <item x="38"/>
        <item x="452"/>
        <item x="707"/>
        <item x="72"/>
        <item x="851"/>
        <item x="474"/>
        <item x="904"/>
        <item x="837"/>
        <item x="88"/>
        <item x="859"/>
        <item x="320"/>
        <item x="179"/>
        <item x="359"/>
        <item x="131"/>
        <item x="592"/>
        <item x="919"/>
        <item x="295"/>
        <item x="92"/>
        <item x="100"/>
        <item x="119"/>
        <item x="513"/>
        <item x="238"/>
        <item x="589"/>
        <item x="810"/>
        <item x="618"/>
        <item x="143"/>
        <item x="377"/>
        <item x="713"/>
        <item x="621"/>
        <item x="574"/>
        <item x="104"/>
        <item x="236"/>
        <item x="82"/>
        <item x="487"/>
        <item x="407"/>
        <item x="157"/>
        <item x="930"/>
        <item x="194"/>
        <item x="825"/>
        <item x="541"/>
        <item x="625"/>
        <item x="874"/>
        <item x="531"/>
        <item x="819"/>
        <item x="543"/>
        <item x="354"/>
        <item x="931"/>
        <item x="468"/>
        <item x="282"/>
        <item x="140"/>
        <item x="356"/>
        <item x="81"/>
        <item x="448"/>
        <item x="281"/>
        <item x="539"/>
        <item x="828"/>
        <item x="117"/>
        <item x="363"/>
        <item x="783"/>
        <item x="388"/>
        <item x="540"/>
        <item x="219"/>
        <item x="742"/>
        <item x="665"/>
        <item x="551"/>
        <item x="517"/>
        <item x="317"/>
        <item x="162"/>
        <item x="64"/>
        <item x="868"/>
        <item x="58"/>
        <item x="79"/>
        <item x="901"/>
        <item x="80"/>
        <item x="781"/>
        <item x="845"/>
        <item x="765"/>
        <item x="423"/>
        <item x="553"/>
        <item x="824"/>
        <item x="244"/>
        <item x="526"/>
        <item x="877"/>
        <item x="687"/>
        <item x="490"/>
        <item x="748"/>
        <item x="883"/>
        <item x="339"/>
        <item x="11"/>
        <item x="795"/>
        <item x="187"/>
        <item x="593"/>
        <item x="285"/>
        <item x="570"/>
        <item x="120"/>
        <item x="716"/>
        <item x="811"/>
        <item x="571"/>
        <item x="294"/>
        <item x="284"/>
        <item x="578"/>
        <item x="392"/>
        <item x="276"/>
        <item x="683"/>
        <item x="536"/>
        <item x="821"/>
        <item x="480"/>
        <item x="567"/>
        <item x="139"/>
        <item x="249"/>
        <item x="74"/>
        <item x="147"/>
        <item x="168"/>
        <item x="454"/>
        <item x="429"/>
        <item x="442"/>
        <item x="595"/>
        <item x="107"/>
        <item x="446"/>
        <item x="847"/>
        <item x="710"/>
        <item x="771"/>
        <item x="510"/>
        <item x="702"/>
        <item x="914"/>
        <item x="466"/>
        <item x="753"/>
        <item x="735"/>
        <item x="387"/>
        <item x="226"/>
        <item x="744"/>
        <item x="48"/>
        <item x="659"/>
        <item x="498"/>
        <item x="355"/>
        <item x="582"/>
        <item x="142"/>
        <item x="568"/>
        <item x="30"/>
        <item x="879"/>
        <item x="792"/>
        <item x="636"/>
        <item x="899"/>
        <item x="20"/>
        <item x="106"/>
        <item x="881"/>
        <item x="266"/>
        <item x="813"/>
        <item x="426"/>
        <item x="467"/>
        <item x="516"/>
        <item x="391"/>
        <item x="717"/>
        <item x="299"/>
        <item x="161"/>
        <item x="47"/>
        <item x="731"/>
        <item x="715"/>
        <item x="303"/>
        <item x="300"/>
        <item x="880"/>
        <item x="601"/>
        <item x="181"/>
        <item x="221"/>
        <item x="664"/>
        <item x="680"/>
        <item x="849"/>
        <item x="204"/>
        <item x="491"/>
        <item x="273"/>
        <item x="379"/>
        <item x="925"/>
        <item x="875"/>
        <item x="70"/>
        <item x="866"/>
        <item x="113"/>
        <item x="522"/>
        <item x="798"/>
        <item x="838"/>
        <item x="485"/>
        <item x="228"/>
        <item x="156"/>
        <item x="572"/>
        <item x="76"/>
        <item x="832"/>
        <item x="345"/>
        <item x="562"/>
        <item x="720"/>
        <item x="125"/>
        <item x="591"/>
        <item x="573"/>
        <item x="667"/>
        <item x="623"/>
        <item x="906"/>
        <item x="171"/>
        <item x="78"/>
        <item x="7"/>
        <item x="128"/>
        <item x="353"/>
        <item x="351"/>
        <item x="365"/>
        <item x="318"/>
        <item x="245"/>
        <item x="923"/>
        <item x="588"/>
        <item x="6"/>
        <item x="936"/>
        <item x="481"/>
        <item x="61"/>
        <item x="45"/>
        <item x="262"/>
        <item x="542"/>
        <item x="462"/>
        <item x="213"/>
        <item x="836"/>
        <item x="160"/>
        <item x="408"/>
        <item x="37"/>
        <item x="685"/>
        <item x="532"/>
        <item x="556"/>
        <item x="719"/>
        <item x="158"/>
        <item x="371"/>
        <item x="920"/>
        <item x="834"/>
        <item x="528"/>
        <item x="141"/>
        <item x="190"/>
        <item x="635"/>
        <item x="135"/>
        <item x="797"/>
        <item x="483"/>
        <item x="271"/>
        <item x="770"/>
        <item x="669"/>
        <item x="584"/>
        <item x="253"/>
        <item x="425"/>
        <item x="888"/>
        <item x="436"/>
        <item x="261"/>
        <item x="926"/>
        <item x="269"/>
        <item x="184"/>
        <item x="268"/>
        <item x="651"/>
        <item x="390"/>
        <item x="546"/>
        <item x="705"/>
        <item x="307"/>
        <item x="737"/>
        <item x="779"/>
        <item x="46"/>
        <item x="699"/>
        <item x="112"/>
        <item x="921"/>
        <item x="831"/>
        <item x="630"/>
        <item x="484"/>
        <item x="611"/>
        <item x="51"/>
        <item x="118"/>
        <item x="701"/>
        <item x="405"/>
        <item x="895"/>
        <item x="19"/>
        <item x="755"/>
        <item x="385"/>
        <item x="681"/>
        <item x="894"/>
        <item x="768"/>
        <item x="788"/>
        <item x="290"/>
        <item x="99"/>
        <item x="504"/>
        <item x="395"/>
        <item x="865"/>
        <item x="8"/>
        <item x="514"/>
        <item x="503"/>
        <item x="686"/>
        <item x="758"/>
        <item x="308"/>
        <item x="90"/>
        <item x="805"/>
        <item x="649"/>
        <item x="826"/>
        <item x="217"/>
        <item x="692"/>
        <item x="756"/>
        <item x="374"/>
        <item x="647"/>
        <item x="451"/>
        <item x="103"/>
        <item x="594"/>
        <item x="624"/>
        <item x="32"/>
        <item x="853"/>
        <item x="757"/>
        <item x="598"/>
        <item x="185"/>
        <item x="785"/>
        <item x="326"/>
        <item x="547"/>
        <item x="511"/>
        <item x="632"/>
        <item x="499"/>
        <item x="242"/>
        <item x="666"/>
        <item x="671"/>
        <item x="410"/>
        <item x="482"/>
        <item x="689"/>
        <item x="616"/>
        <item x="337"/>
        <item x="231"/>
        <item x="234"/>
        <item x="50"/>
        <item x="33"/>
        <item x="435"/>
        <item x="225"/>
        <item x="327"/>
        <item x="494"/>
        <item x="855"/>
        <item x="29"/>
        <item x="782"/>
        <item x="817"/>
        <item x="240"/>
        <item x="661"/>
        <item x="465"/>
        <item x="191"/>
        <item x="87"/>
        <item x="721"/>
        <item x="15"/>
        <item x="198"/>
        <item x="639"/>
        <item x="375"/>
        <item x="884"/>
        <item x="585"/>
        <item x="673"/>
        <item x="714"/>
        <item x="260"/>
        <item x="93"/>
        <item x="747"/>
        <item x="684"/>
        <item x="309"/>
        <item x="459"/>
        <item x="0"/>
        <item x="316"/>
        <item x="412"/>
        <item x="170"/>
        <item x="475"/>
        <item x="918"/>
        <item x="830"/>
        <item x="310"/>
        <item x="871"/>
        <item x="202"/>
        <item x="928"/>
        <item x="180"/>
        <item x="940"/>
        <item x="872"/>
        <item x="743"/>
        <item x="456"/>
        <item x="155"/>
        <item x="662"/>
        <item x="730"/>
        <item x="25"/>
        <item x="741"/>
        <item x="604"/>
        <item x="933"/>
        <item x="789"/>
        <item x="518"/>
        <item x="554"/>
        <item x="83"/>
        <item x="319"/>
        <item x="939"/>
        <item x="816"/>
        <item x="712"/>
        <item x="369"/>
        <item x="94"/>
        <item x="846"/>
        <item x="780"/>
        <item x="69"/>
        <item x="622"/>
        <item x="558"/>
        <item x="230"/>
        <item x="71"/>
        <item x="793"/>
        <item x="645"/>
        <item x="658"/>
        <item x="708"/>
        <item x="286"/>
        <item x="799"/>
        <item x="902"/>
        <item x="364"/>
        <item x="763"/>
        <item x="216"/>
        <item x="437"/>
        <item x="833"/>
        <item x="420"/>
        <item x="909"/>
        <item x="223"/>
        <item x="557"/>
        <item t="default"/>
      </items>
    </pivotField>
    <pivotField showAll="0"/>
    <pivotField showAll="0">
      <items count="18">
        <item x="7"/>
        <item x="1"/>
        <item x="15"/>
        <item x="12"/>
        <item x="3"/>
        <item x="13"/>
        <item x="8"/>
        <item x="9"/>
        <item x="10"/>
        <item x="4"/>
        <item x="2"/>
        <item x="11"/>
        <item x="6"/>
        <item x="5"/>
        <item x="16"/>
        <item x="0"/>
        <item x="14"/>
        <item t="default"/>
      </items>
    </pivotField>
    <pivotField showAll="0">
      <items count="3">
        <item x="0"/>
        <item x="1"/>
        <item t="default"/>
      </items>
    </pivotField>
    <pivotField axis="axisRow" showAll="0">
      <items count="4">
        <item x="2"/>
        <item x="0"/>
        <item x="1"/>
        <item t="default"/>
      </items>
    </pivotField>
    <pivotField showAll="0"/>
    <pivotField showAll="0"/>
    <pivotField showAll="0">
      <items count="13">
        <item x="1"/>
        <item x="3"/>
        <item x="5"/>
        <item x="4"/>
        <item x="9"/>
        <item x="2"/>
        <item x="11"/>
        <item x="8"/>
        <item x="10"/>
        <item x="6"/>
        <item x="7"/>
        <item x="0"/>
        <item t="default"/>
      </items>
    </pivotField>
    <pivotField showAll="0"/>
    <pivotField showAll="0"/>
    <pivotField showAll="0"/>
    <pivotField showAll="0">
      <items count="21">
        <item x="8"/>
        <item x="13"/>
        <item x="10"/>
        <item x="17"/>
        <item x="5"/>
        <item x="3"/>
        <item x="1"/>
        <item x="16"/>
        <item x="15"/>
        <item x="4"/>
        <item x="19"/>
        <item x="12"/>
        <item x="9"/>
        <item x="0"/>
        <item x="11"/>
        <item x="18"/>
        <item x="7"/>
        <item x="2"/>
        <item x="6"/>
        <item x="14"/>
        <item t="default"/>
      </items>
    </pivotField>
    <pivotField showAll="0">
      <items count="11">
        <item x="3"/>
        <item x="9"/>
        <item x="1"/>
        <item x="0"/>
        <item x="8"/>
        <item x="7"/>
        <item x="5"/>
        <item x="6"/>
        <item x="2"/>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Items count="1">
    <i/>
  </colItems>
  <dataFields count="1">
    <dataField name="Count of booking_id" fld="0" subtotal="count" baseField="0" baseItem="0"/>
  </dataFields>
  <chartFormats count="4">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8" count="1" selected="0">
            <x v="0"/>
          </reference>
        </references>
      </pivotArea>
    </chartFormat>
    <chartFormat chart="8" format="10">
      <pivotArea type="data" outline="0" fieldPosition="0">
        <references count="2">
          <reference field="4294967294" count="1" selected="0">
            <x v="0"/>
          </reference>
          <reference field="8" count="1" selected="0">
            <x v="1"/>
          </reference>
        </references>
      </pivotArea>
    </chartFormat>
    <chartFormat chart="8"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B2404D-EDFD-460B-83FA-4BDFB0BB8C20}" name="PivotTable10"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7:B58" firstHeaderRow="1" firstDataRow="1" firstDataCol="1"/>
  <pivotFields count="19">
    <pivotField showAll="0"/>
    <pivotField showAll="0"/>
    <pivotField showAll="0"/>
    <pivotField showAll="0"/>
    <pivotField numFmtId="164" showAll="0">
      <items count="943">
        <item x="775"/>
        <item x="784"/>
        <item x="60"/>
        <item x="889"/>
        <item x="341"/>
        <item x="908"/>
        <item x="54"/>
        <item x="159"/>
        <item x="461"/>
        <item x="259"/>
        <item x="802"/>
        <item x="394"/>
        <item x="344"/>
        <item x="438"/>
        <item x="924"/>
        <item x="718"/>
        <item x="609"/>
        <item x="332"/>
        <item x="827"/>
        <item x="434"/>
        <item x="500"/>
        <item x="173"/>
        <item x="577"/>
        <item x="380"/>
        <item x="898"/>
        <item x="26"/>
        <item x="418"/>
        <item x="794"/>
        <item x="896"/>
        <item x="403"/>
        <item x="200"/>
        <item x="646"/>
        <item x="587"/>
        <item x="67"/>
        <item x="929"/>
        <item x="657"/>
        <item x="186"/>
        <item x="534"/>
        <item x="869"/>
        <item x="146"/>
        <item x="31"/>
        <item x="778"/>
        <item x="856"/>
        <item x="445"/>
        <item x="258"/>
        <item x="607"/>
        <item x="256"/>
        <item x="255"/>
        <item x="502"/>
        <item x="36"/>
        <item x="512"/>
        <item x="441"/>
        <item x="580"/>
        <item x="844"/>
        <item x="937"/>
        <item x="751"/>
        <item x="415"/>
        <item x="700"/>
        <item x="863"/>
        <item x="773"/>
        <item x="150"/>
        <item x="116"/>
        <item x="297"/>
        <item x="533"/>
        <item x="897"/>
        <item x="638"/>
        <item x="398"/>
        <item x="52"/>
        <item x="761"/>
        <item x="530"/>
        <item x="602"/>
        <item x="134"/>
        <item x="840"/>
        <item x="1"/>
        <item x="903"/>
        <item x="95"/>
        <item x="550"/>
        <item x="304"/>
        <item x="564"/>
        <item x="97"/>
        <item x="891"/>
        <item x="164"/>
        <item x="13"/>
        <item x="109"/>
        <item x="640"/>
        <item x="878"/>
        <item x="581"/>
        <item x="343"/>
        <item x="728"/>
        <item x="786"/>
        <item x="900"/>
        <item x="114"/>
        <item x="357"/>
        <item x="935"/>
        <item x="53"/>
        <item x="63"/>
        <item x="275"/>
        <item x="386"/>
        <item x="858"/>
        <item x="209"/>
        <item x="3"/>
        <item x="887"/>
        <item x="39"/>
        <item x="330"/>
        <item x="460"/>
        <item x="331"/>
        <item x="24"/>
        <item x="912"/>
        <item x="208"/>
        <item x="854"/>
        <item x="288"/>
        <item x="648"/>
        <item x="12"/>
        <item x="89"/>
        <item x="201"/>
        <item x="523"/>
        <item x="555"/>
        <item x="508"/>
        <item x="325"/>
        <item x="174"/>
        <item x="298"/>
        <item x="610"/>
        <item x="938"/>
        <item x="852"/>
        <item x="569"/>
        <item x="738"/>
        <item x="197"/>
        <item x="283"/>
        <item x="561"/>
        <item x="138"/>
        <item x="149"/>
        <item x="725"/>
        <item x="812"/>
        <item x="105"/>
        <item x="860"/>
        <item x="424"/>
        <item x="315"/>
        <item x="382"/>
        <item x="916"/>
        <item x="333"/>
        <item x="527"/>
        <item x="196"/>
        <item x="287"/>
        <item x="808"/>
        <item x="301"/>
        <item x="576"/>
        <item x="729"/>
        <item x="145"/>
        <item x="694"/>
        <item x="215"/>
        <item x="620"/>
        <item x="85"/>
        <item x="239"/>
        <item x="703"/>
        <item x="506"/>
        <item x="123"/>
        <item x="907"/>
        <item x="842"/>
        <item x="199"/>
        <item x="406"/>
        <item x="227"/>
        <item x="548"/>
        <item x="841"/>
        <item x="98"/>
        <item x="759"/>
        <item x="246"/>
        <item x="167"/>
        <item x="57"/>
        <item x="732"/>
        <item x="220"/>
        <item x="21"/>
        <item x="172"/>
        <item x="804"/>
        <item x="419"/>
        <item x="848"/>
        <item x="91"/>
        <item x="650"/>
        <item x="734"/>
        <item x="566"/>
        <item x="102"/>
        <item x="414"/>
        <item x="430"/>
        <item x="372"/>
        <item x="10"/>
        <item x="917"/>
        <item x="583"/>
        <item x="691"/>
        <item x="754"/>
        <item x="867"/>
        <item x="110"/>
        <item x="631"/>
        <item x="153"/>
        <item x="151"/>
        <item x="241"/>
        <item x="323"/>
        <item x="23"/>
        <item x="163"/>
        <item x="733"/>
        <item x="818"/>
        <item x="293"/>
        <item x="552"/>
        <item x="495"/>
        <item x="706"/>
        <item x="397"/>
        <item x="477"/>
        <item x="519"/>
        <item x="704"/>
        <item x="697"/>
        <item x="322"/>
        <item x="809"/>
        <item x="690"/>
        <item x="124"/>
        <item x="668"/>
        <item x="672"/>
        <item x="305"/>
        <item x="5"/>
        <item x="360"/>
        <item x="350"/>
        <item x="473"/>
        <item x="549"/>
        <item x="399"/>
        <item x="614"/>
        <item x="347"/>
        <item x="66"/>
        <item x="280"/>
        <item x="212"/>
        <item x="606"/>
        <item x="760"/>
        <item x="133"/>
        <item x="411"/>
        <item x="660"/>
        <item x="210"/>
        <item x="471"/>
        <item x="264"/>
        <item x="18"/>
        <item x="905"/>
        <item x="224"/>
        <item x="235"/>
        <item x="250"/>
        <item x="520"/>
        <item x="675"/>
        <item x="628"/>
        <item x="292"/>
        <item x="439"/>
        <item x="653"/>
        <item x="941"/>
        <item x="822"/>
        <item x="820"/>
        <item x="49"/>
        <item x="455"/>
        <item x="154"/>
        <item x="806"/>
        <item x="55"/>
        <item x="165"/>
        <item x="911"/>
        <item x="695"/>
        <item x="560"/>
        <item x="801"/>
        <item x="670"/>
        <item x="652"/>
        <item x="342"/>
        <item x="655"/>
        <item x="769"/>
        <item x="422"/>
        <item x="9"/>
        <item x="644"/>
        <item x="807"/>
        <item x="776"/>
        <item x="927"/>
        <item x="913"/>
        <item x="739"/>
        <item x="605"/>
        <item x="766"/>
        <item x="515"/>
        <item x="84"/>
        <item x="62"/>
        <item x="16"/>
        <item x="396"/>
        <item x="663"/>
        <item x="178"/>
        <item x="346"/>
        <item x="862"/>
        <item x="336"/>
        <item x="829"/>
        <item x="538"/>
        <item x="132"/>
        <item x="882"/>
        <item x="358"/>
        <item x="413"/>
        <item x="857"/>
        <item x="306"/>
        <item x="524"/>
        <item x="509"/>
        <item x="507"/>
        <item x="544"/>
        <item x="349"/>
        <item x="203"/>
        <item x="176"/>
        <item x="378"/>
        <item x="501"/>
        <item x="565"/>
        <item x="603"/>
        <item x="492"/>
        <item x="864"/>
        <item x="726"/>
        <item x="101"/>
        <item x="130"/>
        <item x="476"/>
        <item x="254"/>
        <item x="77"/>
        <item x="324"/>
        <item x="486"/>
        <item x="772"/>
        <item x="796"/>
        <item x="850"/>
        <item x="597"/>
        <item x="136"/>
        <item x="321"/>
        <item x="366"/>
        <item x="4"/>
        <item x="843"/>
        <item x="750"/>
        <item x="740"/>
        <item x="367"/>
        <item x="892"/>
        <item x="497"/>
        <item x="545"/>
        <item x="193"/>
        <item x="96"/>
        <item x="932"/>
        <item x="218"/>
        <item x="14"/>
        <item x="656"/>
        <item x="313"/>
        <item x="207"/>
        <item x="214"/>
        <item x="893"/>
        <item x="493"/>
        <item x="348"/>
        <item x="43"/>
        <item x="634"/>
        <item x="126"/>
        <item x="525"/>
        <item x="529"/>
        <item x="839"/>
        <item x="444"/>
        <item x="575"/>
        <item x="464"/>
        <item x="590"/>
        <item x="247"/>
        <item x="205"/>
        <item x="679"/>
        <item x="469"/>
        <item x="478"/>
        <item x="677"/>
        <item x="641"/>
        <item x="206"/>
        <item x="449"/>
        <item x="823"/>
        <item x="537"/>
        <item x="678"/>
        <item x="17"/>
        <item x="615"/>
        <item x="617"/>
        <item x="393"/>
        <item x="183"/>
        <item x="182"/>
        <item x="267"/>
        <item x="169"/>
        <item x="774"/>
        <item x="457"/>
        <item x="803"/>
        <item x="586"/>
        <item x="263"/>
        <item x="361"/>
        <item x="401"/>
        <item x="68"/>
        <item x="752"/>
        <item x="376"/>
        <item x="431"/>
        <item x="417"/>
        <item x="777"/>
        <item x="654"/>
        <item x="885"/>
        <item x="427"/>
        <item x="463"/>
        <item x="922"/>
        <item x="676"/>
        <item x="65"/>
        <item x="682"/>
        <item x="696"/>
        <item x="257"/>
        <item x="861"/>
        <item x="302"/>
        <item x="470"/>
        <item x="612"/>
        <item x="373"/>
        <item x="599"/>
        <item x="115"/>
        <item x="642"/>
        <item x="229"/>
        <item x="404"/>
        <item x="291"/>
        <item x="791"/>
        <item x="121"/>
        <item x="521"/>
        <item x="384"/>
        <item x="814"/>
        <item x="472"/>
        <item x="289"/>
        <item x="505"/>
        <item x="762"/>
        <item x="195"/>
        <item x="790"/>
        <item x="2"/>
        <item x="222"/>
        <item x="458"/>
        <item x="428"/>
        <item x="189"/>
        <item x="724"/>
        <item x="166"/>
        <item x="381"/>
        <item x="736"/>
        <item x="488"/>
        <item x="144"/>
        <item x="876"/>
        <item x="34"/>
        <item x="272"/>
        <item x="22"/>
        <item x="362"/>
        <item x="723"/>
        <item x="383"/>
        <item x="314"/>
        <item x="432"/>
        <item x="433"/>
        <item x="328"/>
        <item x="402"/>
        <item x="479"/>
        <item x="44"/>
        <item x="277"/>
        <item x="745"/>
        <item x="111"/>
        <item x="243"/>
        <item x="73"/>
        <item x="688"/>
        <item x="42"/>
        <item x="890"/>
        <item x="177"/>
        <item x="626"/>
        <item x="265"/>
        <item x="368"/>
        <item x="270"/>
        <item x="870"/>
        <item x="389"/>
        <item x="440"/>
        <item x="709"/>
        <item x="338"/>
        <item x="489"/>
        <item x="886"/>
        <item x="188"/>
        <item x="274"/>
        <item x="334"/>
        <item x="787"/>
        <item x="608"/>
        <item x="873"/>
        <item x="252"/>
        <item x="340"/>
        <item x="148"/>
        <item x="835"/>
        <item x="800"/>
        <item x="633"/>
        <item x="312"/>
        <item x="450"/>
        <item x="698"/>
        <item x="815"/>
        <item x="559"/>
        <item x="910"/>
        <item x="86"/>
        <item x="915"/>
        <item x="175"/>
        <item x="335"/>
        <item x="727"/>
        <item x="28"/>
        <item x="122"/>
        <item x="613"/>
        <item x="600"/>
        <item x="127"/>
        <item x="629"/>
        <item x="643"/>
        <item x="75"/>
        <item x="722"/>
        <item x="934"/>
        <item x="41"/>
        <item x="447"/>
        <item x="496"/>
        <item x="129"/>
        <item x="421"/>
        <item x="596"/>
        <item x="248"/>
        <item x="535"/>
        <item x="453"/>
        <item x="416"/>
        <item x="56"/>
        <item x="637"/>
        <item x="211"/>
        <item x="767"/>
        <item x="674"/>
        <item x="232"/>
        <item x="251"/>
        <item x="443"/>
        <item x="329"/>
        <item x="619"/>
        <item x="764"/>
        <item x="27"/>
        <item x="409"/>
        <item x="352"/>
        <item x="152"/>
        <item x="749"/>
        <item x="233"/>
        <item x="192"/>
        <item x="108"/>
        <item x="311"/>
        <item x="746"/>
        <item x="370"/>
        <item x="278"/>
        <item x="137"/>
        <item x="59"/>
        <item x="627"/>
        <item x="711"/>
        <item x="279"/>
        <item x="563"/>
        <item x="693"/>
        <item x="237"/>
        <item x="35"/>
        <item x="296"/>
        <item x="579"/>
        <item x="400"/>
        <item x="40"/>
        <item x="38"/>
        <item x="452"/>
        <item x="707"/>
        <item x="72"/>
        <item x="851"/>
        <item x="474"/>
        <item x="904"/>
        <item x="837"/>
        <item x="88"/>
        <item x="859"/>
        <item x="320"/>
        <item x="179"/>
        <item x="359"/>
        <item x="131"/>
        <item x="592"/>
        <item x="919"/>
        <item x="295"/>
        <item x="92"/>
        <item x="100"/>
        <item x="119"/>
        <item x="513"/>
        <item x="238"/>
        <item x="589"/>
        <item x="810"/>
        <item x="618"/>
        <item x="143"/>
        <item x="377"/>
        <item x="713"/>
        <item x="621"/>
        <item x="574"/>
        <item x="104"/>
        <item x="236"/>
        <item x="82"/>
        <item x="487"/>
        <item x="407"/>
        <item x="157"/>
        <item x="930"/>
        <item x="194"/>
        <item x="825"/>
        <item x="541"/>
        <item x="625"/>
        <item x="874"/>
        <item x="531"/>
        <item x="819"/>
        <item x="543"/>
        <item x="354"/>
        <item x="931"/>
        <item x="468"/>
        <item x="282"/>
        <item x="140"/>
        <item x="356"/>
        <item x="81"/>
        <item x="448"/>
        <item x="281"/>
        <item x="539"/>
        <item x="828"/>
        <item x="117"/>
        <item x="363"/>
        <item x="783"/>
        <item x="388"/>
        <item x="540"/>
        <item x="219"/>
        <item x="742"/>
        <item x="665"/>
        <item x="551"/>
        <item x="517"/>
        <item x="317"/>
        <item x="162"/>
        <item x="64"/>
        <item x="868"/>
        <item x="58"/>
        <item x="79"/>
        <item x="901"/>
        <item x="80"/>
        <item x="781"/>
        <item x="845"/>
        <item x="765"/>
        <item x="423"/>
        <item x="553"/>
        <item x="824"/>
        <item x="244"/>
        <item x="526"/>
        <item x="877"/>
        <item x="687"/>
        <item x="490"/>
        <item x="748"/>
        <item x="883"/>
        <item x="339"/>
        <item x="11"/>
        <item x="795"/>
        <item x="187"/>
        <item x="593"/>
        <item x="285"/>
        <item x="570"/>
        <item x="120"/>
        <item x="716"/>
        <item x="811"/>
        <item x="571"/>
        <item x="294"/>
        <item x="284"/>
        <item x="578"/>
        <item x="392"/>
        <item x="276"/>
        <item x="683"/>
        <item x="536"/>
        <item x="821"/>
        <item x="480"/>
        <item x="567"/>
        <item x="139"/>
        <item x="249"/>
        <item x="74"/>
        <item x="147"/>
        <item x="168"/>
        <item x="454"/>
        <item x="429"/>
        <item x="442"/>
        <item x="595"/>
        <item x="107"/>
        <item x="446"/>
        <item x="847"/>
        <item x="710"/>
        <item x="771"/>
        <item x="510"/>
        <item x="702"/>
        <item x="914"/>
        <item x="466"/>
        <item x="753"/>
        <item x="735"/>
        <item x="387"/>
        <item x="226"/>
        <item x="744"/>
        <item x="48"/>
        <item x="659"/>
        <item x="498"/>
        <item x="355"/>
        <item x="582"/>
        <item x="142"/>
        <item x="568"/>
        <item x="30"/>
        <item x="879"/>
        <item x="792"/>
        <item x="636"/>
        <item x="899"/>
        <item x="20"/>
        <item x="106"/>
        <item x="881"/>
        <item x="266"/>
        <item x="813"/>
        <item x="426"/>
        <item x="467"/>
        <item x="516"/>
        <item x="391"/>
        <item x="717"/>
        <item x="299"/>
        <item x="161"/>
        <item x="47"/>
        <item x="731"/>
        <item x="715"/>
        <item x="303"/>
        <item x="300"/>
        <item x="880"/>
        <item x="601"/>
        <item x="181"/>
        <item x="221"/>
        <item x="664"/>
        <item x="680"/>
        <item x="849"/>
        <item x="204"/>
        <item x="491"/>
        <item x="273"/>
        <item x="379"/>
        <item x="925"/>
        <item x="875"/>
        <item x="70"/>
        <item x="866"/>
        <item x="113"/>
        <item x="522"/>
        <item x="798"/>
        <item x="838"/>
        <item x="485"/>
        <item x="228"/>
        <item x="156"/>
        <item x="572"/>
        <item x="76"/>
        <item x="832"/>
        <item x="345"/>
        <item x="562"/>
        <item x="720"/>
        <item x="125"/>
        <item x="591"/>
        <item x="573"/>
        <item x="667"/>
        <item x="623"/>
        <item x="906"/>
        <item x="171"/>
        <item x="78"/>
        <item x="7"/>
        <item x="128"/>
        <item x="353"/>
        <item x="351"/>
        <item x="365"/>
        <item x="318"/>
        <item x="245"/>
        <item x="923"/>
        <item x="588"/>
        <item x="6"/>
        <item x="936"/>
        <item x="481"/>
        <item x="61"/>
        <item x="45"/>
        <item x="262"/>
        <item x="542"/>
        <item x="462"/>
        <item x="213"/>
        <item x="836"/>
        <item x="160"/>
        <item x="408"/>
        <item x="37"/>
        <item x="685"/>
        <item x="532"/>
        <item x="556"/>
        <item x="719"/>
        <item x="158"/>
        <item x="371"/>
        <item x="920"/>
        <item x="834"/>
        <item x="528"/>
        <item x="141"/>
        <item x="190"/>
        <item x="635"/>
        <item x="135"/>
        <item x="797"/>
        <item x="483"/>
        <item x="271"/>
        <item x="770"/>
        <item x="669"/>
        <item x="584"/>
        <item x="253"/>
        <item x="425"/>
        <item x="888"/>
        <item x="436"/>
        <item x="261"/>
        <item x="926"/>
        <item x="269"/>
        <item x="184"/>
        <item x="268"/>
        <item x="651"/>
        <item x="390"/>
        <item x="546"/>
        <item x="705"/>
        <item x="307"/>
        <item x="737"/>
        <item x="779"/>
        <item x="46"/>
        <item x="699"/>
        <item x="112"/>
        <item x="921"/>
        <item x="831"/>
        <item x="630"/>
        <item x="484"/>
        <item x="611"/>
        <item x="51"/>
        <item x="118"/>
        <item x="701"/>
        <item x="405"/>
        <item x="895"/>
        <item x="19"/>
        <item x="755"/>
        <item x="385"/>
        <item x="681"/>
        <item x="894"/>
        <item x="768"/>
        <item x="788"/>
        <item x="290"/>
        <item x="99"/>
        <item x="504"/>
        <item x="395"/>
        <item x="865"/>
        <item x="8"/>
        <item x="514"/>
        <item x="503"/>
        <item x="686"/>
        <item x="758"/>
        <item x="308"/>
        <item x="90"/>
        <item x="805"/>
        <item x="649"/>
        <item x="826"/>
        <item x="217"/>
        <item x="692"/>
        <item x="756"/>
        <item x="374"/>
        <item x="647"/>
        <item x="451"/>
        <item x="103"/>
        <item x="594"/>
        <item x="624"/>
        <item x="32"/>
        <item x="853"/>
        <item x="757"/>
        <item x="598"/>
        <item x="185"/>
        <item x="785"/>
        <item x="326"/>
        <item x="547"/>
        <item x="511"/>
        <item x="632"/>
        <item x="499"/>
        <item x="242"/>
        <item x="666"/>
        <item x="671"/>
        <item x="410"/>
        <item x="482"/>
        <item x="689"/>
        <item x="616"/>
        <item x="337"/>
        <item x="231"/>
        <item x="234"/>
        <item x="50"/>
        <item x="33"/>
        <item x="435"/>
        <item x="225"/>
        <item x="327"/>
        <item x="494"/>
        <item x="855"/>
        <item x="29"/>
        <item x="782"/>
        <item x="817"/>
        <item x="240"/>
        <item x="661"/>
        <item x="465"/>
        <item x="191"/>
        <item x="87"/>
        <item x="721"/>
        <item x="15"/>
        <item x="198"/>
        <item x="639"/>
        <item x="375"/>
        <item x="884"/>
        <item x="585"/>
        <item x="673"/>
        <item x="714"/>
        <item x="260"/>
        <item x="93"/>
        <item x="747"/>
        <item x="684"/>
        <item x="309"/>
        <item x="459"/>
        <item x="0"/>
        <item x="316"/>
        <item x="412"/>
        <item x="170"/>
        <item x="475"/>
        <item x="918"/>
        <item x="830"/>
        <item x="310"/>
        <item x="871"/>
        <item x="202"/>
        <item x="928"/>
        <item x="180"/>
        <item x="940"/>
        <item x="872"/>
        <item x="743"/>
        <item x="456"/>
        <item x="155"/>
        <item x="662"/>
        <item x="730"/>
        <item x="25"/>
        <item x="741"/>
        <item x="604"/>
        <item x="933"/>
        <item x="789"/>
        <item x="518"/>
        <item x="554"/>
        <item x="83"/>
        <item x="319"/>
        <item x="939"/>
        <item x="816"/>
        <item x="712"/>
        <item x="369"/>
        <item x="94"/>
        <item x="846"/>
        <item x="780"/>
        <item x="69"/>
        <item x="622"/>
        <item x="558"/>
        <item x="230"/>
        <item x="71"/>
        <item x="793"/>
        <item x="645"/>
        <item x="658"/>
        <item x="708"/>
        <item x="286"/>
        <item x="799"/>
        <item x="902"/>
        <item x="364"/>
        <item x="763"/>
        <item x="216"/>
        <item x="437"/>
        <item x="833"/>
        <item x="420"/>
        <item x="909"/>
        <item x="223"/>
        <item x="557"/>
        <item t="default"/>
      </items>
    </pivotField>
    <pivotField showAll="0"/>
    <pivotField dataField="1" showAll="0">
      <items count="18">
        <item x="7"/>
        <item x="1"/>
        <item x="15"/>
        <item x="12"/>
        <item x="3"/>
        <item x="13"/>
        <item x="8"/>
        <item x="9"/>
        <item x="10"/>
        <item x="4"/>
        <item x="2"/>
        <item x="11"/>
        <item x="6"/>
        <item x="5"/>
        <item x="16"/>
        <item x="0"/>
        <item x="14"/>
        <item t="default"/>
      </items>
    </pivotField>
    <pivotField showAll="0">
      <items count="3">
        <item x="0"/>
        <item x="1"/>
        <item t="default"/>
      </items>
    </pivotField>
    <pivotField showAll="0">
      <items count="4">
        <item x="2"/>
        <item x="0"/>
        <item x="1"/>
        <item t="default"/>
      </items>
    </pivotField>
    <pivotField showAll="0"/>
    <pivotField showAll="0"/>
    <pivotField showAll="0">
      <items count="13">
        <item x="1"/>
        <item x="3"/>
        <item x="5"/>
        <item x="4"/>
        <item x="9"/>
        <item x="2"/>
        <item x="11"/>
        <item x="8"/>
        <item x="10"/>
        <item x="6"/>
        <item x="7"/>
        <item x="0"/>
        <item t="default"/>
      </items>
    </pivotField>
    <pivotField showAll="0"/>
    <pivotField showAll="0"/>
    <pivotField showAll="0"/>
    <pivotField showAll="0">
      <items count="21">
        <item x="8"/>
        <item x="13"/>
        <item x="10"/>
        <item x="17"/>
        <item x="5"/>
        <item x="3"/>
        <item x="1"/>
        <item x="16"/>
        <item x="15"/>
        <item x="4"/>
        <item x="19"/>
        <item x="12"/>
        <item x="9"/>
        <item x="0"/>
        <item x="11"/>
        <item x="18"/>
        <item x="7"/>
        <item x="2"/>
        <item x="6"/>
        <item x="14"/>
        <item t="default"/>
      </items>
    </pivotField>
    <pivotField axis="axisRow" showAll="0" sortType="descending">
      <items count="11">
        <item x="3"/>
        <item x="9"/>
        <item x="1"/>
        <item x="0"/>
        <item x="8"/>
        <item x="7"/>
        <item x="5"/>
        <item x="6"/>
        <item x="2"/>
        <item x="4"/>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6"/>
  </rowFields>
  <rowItems count="11">
    <i>
      <x v="2"/>
    </i>
    <i>
      <x v="3"/>
    </i>
    <i>
      <x v="7"/>
    </i>
    <i>
      <x/>
    </i>
    <i>
      <x v="8"/>
    </i>
    <i>
      <x v="5"/>
    </i>
    <i>
      <x v="9"/>
    </i>
    <i>
      <x v="1"/>
    </i>
    <i>
      <x v="4"/>
    </i>
    <i>
      <x v="6"/>
    </i>
    <i t="grand">
      <x/>
    </i>
  </rowItems>
  <colItems count="1">
    <i/>
  </colItems>
  <dataFields count="1">
    <dataField name="Sum of ticket_amount" fld="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2EC1A2A-F8F8-47C4-967A-2D51B165B00F}" name="PivotTable19" cacheId="33"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12">
  <location ref="A97:B101" firstHeaderRow="1" firstDataRow="1" firstDataCol="1"/>
  <pivotFields count="19">
    <pivotField dataField="1" showAll="0"/>
    <pivotField showAll="0"/>
    <pivotField showAll="0"/>
    <pivotField showAll="0"/>
    <pivotField numFmtId="164" showAll="0">
      <items count="943">
        <item x="775"/>
        <item x="784"/>
        <item x="60"/>
        <item x="889"/>
        <item x="341"/>
        <item x="908"/>
        <item x="54"/>
        <item x="159"/>
        <item x="461"/>
        <item x="259"/>
        <item x="802"/>
        <item x="394"/>
        <item x="344"/>
        <item x="438"/>
        <item x="924"/>
        <item x="718"/>
        <item x="609"/>
        <item x="332"/>
        <item x="827"/>
        <item x="434"/>
        <item x="500"/>
        <item x="173"/>
        <item x="577"/>
        <item x="380"/>
        <item x="898"/>
        <item x="26"/>
        <item x="418"/>
        <item x="794"/>
        <item x="896"/>
        <item x="403"/>
        <item x="200"/>
        <item x="646"/>
        <item x="587"/>
        <item x="67"/>
        <item x="929"/>
        <item x="657"/>
        <item x="186"/>
        <item x="534"/>
        <item x="869"/>
        <item x="146"/>
        <item x="31"/>
        <item x="778"/>
        <item x="856"/>
        <item x="445"/>
        <item x="258"/>
        <item x="607"/>
        <item x="256"/>
        <item x="255"/>
        <item x="502"/>
        <item x="36"/>
        <item x="512"/>
        <item x="441"/>
        <item x="580"/>
        <item x="844"/>
        <item x="937"/>
        <item x="751"/>
        <item x="415"/>
        <item x="700"/>
        <item x="863"/>
        <item x="773"/>
        <item x="150"/>
        <item x="116"/>
        <item x="297"/>
        <item x="533"/>
        <item x="897"/>
        <item x="638"/>
        <item x="398"/>
        <item x="52"/>
        <item x="761"/>
        <item x="530"/>
        <item x="602"/>
        <item x="134"/>
        <item x="840"/>
        <item x="1"/>
        <item x="903"/>
        <item x="95"/>
        <item x="550"/>
        <item x="304"/>
        <item x="564"/>
        <item x="97"/>
        <item x="891"/>
        <item x="164"/>
        <item x="13"/>
        <item x="109"/>
        <item x="640"/>
        <item x="878"/>
        <item x="581"/>
        <item x="343"/>
        <item x="728"/>
        <item x="786"/>
        <item x="900"/>
        <item x="114"/>
        <item x="357"/>
        <item x="935"/>
        <item x="53"/>
        <item x="63"/>
        <item x="275"/>
        <item x="386"/>
        <item x="858"/>
        <item x="209"/>
        <item x="3"/>
        <item x="887"/>
        <item x="39"/>
        <item x="330"/>
        <item x="460"/>
        <item x="331"/>
        <item x="24"/>
        <item x="912"/>
        <item x="208"/>
        <item x="854"/>
        <item x="288"/>
        <item x="648"/>
        <item x="12"/>
        <item x="89"/>
        <item x="201"/>
        <item x="523"/>
        <item x="555"/>
        <item x="508"/>
        <item x="325"/>
        <item x="174"/>
        <item x="298"/>
        <item x="610"/>
        <item x="938"/>
        <item x="852"/>
        <item x="569"/>
        <item x="738"/>
        <item x="197"/>
        <item x="283"/>
        <item x="561"/>
        <item x="138"/>
        <item x="149"/>
        <item x="725"/>
        <item x="812"/>
        <item x="105"/>
        <item x="860"/>
        <item x="424"/>
        <item x="315"/>
        <item x="382"/>
        <item x="916"/>
        <item x="333"/>
        <item x="527"/>
        <item x="196"/>
        <item x="287"/>
        <item x="808"/>
        <item x="301"/>
        <item x="576"/>
        <item x="729"/>
        <item x="145"/>
        <item x="694"/>
        <item x="215"/>
        <item x="620"/>
        <item x="85"/>
        <item x="239"/>
        <item x="703"/>
        <item x="506"/>
        <item x="123"/>
        <item x="907"/>
        <item x="842"/>
        <item x="199"/>
        <item x="406"/>
        <item x="227"/>
        <item x="548"/>
        <item x="841"/>
        <item x="98"/>
        <item x="759"/>
        <item x="246"/>
        <item x="167"/>
        <item x="57"/>
        <item x="732"/>
        <item x="220"/>
        <item x="21"/>
        <item x="172"/>
        <item x="804"/>
        <item x="419"/>
        <item x="848"/>
        <item x="91"/>
        <item x="650"/>
        <item x="734"/>
        <item x="566"/>
        <item x="102"/>
        <item x="414"/>
        <item x="430"/>
        <item x="372"/>
        <item x="10"/>
        <item x="917"/>
        <item x="583"/>
        <item x="691"/>
        <item x="754"/>
        <item x="867"/>
        <item x="110"/>
        <item x="631"/>
        <item x="153"/>
        <item x="151"/>
        <item x="241"/>
        <item x="323"/>
        <item x="23"/>
        <item x="163"/>
        <item x="733"/>
        <item x="818"/>
        <item x="293"/>
        <item x="552"/>
        <item x="495"/>
        <item x="706"/>
        <item x="397"/>
        <item x="477"/>
        <item x="519"/>
        <item x="704"/>
        <item x="697"/>
        <item x="322"/>
        <item x="809"/>
        <item x="690"/>
        <item x="124"/>
        <item x="668"/>
        <item x="672"/>
        <item x="305"/>
        <item x="5"/>
        <item x="360"/>
        <item x="350"/>
        <item x="473"/>
        <item x="549"/>
        <item x="399"/>
        <item x="614"/>
        <item x="347"/>
        <item x="66"/>
        <item x="280"/>
        <item x="212"/>
        <item x="606"/>
        <item x="760"/>
        <item x="133"/>
        <item x="411"/>
        <item x="660"/>
        <item x="210"/>
        <item x="471"/>
        <item x="264"/>
        <item x="18"/>
        <item x="905"/>
        <item x="224"/>
        <item x="235"/>
        <item x="250"/>
        <item x="520"/>
        <item x="675"/>
        <item x="628"/>
        <item x="292"/>
        <item x="439"/>
        <item x="653"/>
        <item x="941"/>
        <item x="822"/>
        <item x="820"/>
        <item x="49"/>
        <item x="455"/>
        <item x="154"/>
        <item x="806"/>
        <item x="55"/>
        <item x="165"/>
        <item x="911"/>
        <item x="695"/>
        <item x="560"/>
        <item x="801"/>
        <item x="670"/>
        <item x="652"/>
        <item x="342"/>
        <item x="655"/>
        <item x="769"/>
        <item x="422"/>
        <item x="9"/>
        <item x="644"/>
        <item x="807"/>
        <item x="776"/>
        <item x="927"/>
        <item x="913"/>
        <item x="739"/>
        <item x="605"/>
        <item x="766"/>
        <item x="515"/>
        <item x="84"/>
        <item x="62"/>
        <item x="16"/>
        <item x="396"/>
        <item x="663"/>
        <item x="178"/>
        <item x="346"/>
        <item x="862"/>
        <item x="336"/>
        <item x="829"/>
        <item x="538"/>
        <item x="132"/>
        <item x="882"/>
        <item x="358"/>
        <item x="413"/>
        <item x="857"/>
        <item x="306"/>
        <item x="524"/>
        <item x="509"/>
        <item x="507"/>
        <item x="544"/>
        <item x="349"/>
        <item x="203"/>
        <item x="176"/>
        <item x="378"/>
        <item x="501"/>
        <item x="565"/>
        <item x="603"/>
        <item x="492"/>
        <item x="864"/>
        <item x="726"/>
        <item x="101"/>
        <item x="130"/>
        <item x="476"/>
        <item x="254"/>
        <item x="77"/>
        <item x="324"/>
        <item x="486"/>
        <item x="772"/>
        <item x="796"/>
        <item x="850"/>
        <item x="597"/>
        <item x="136"/>
        <item x="321"/>
        <item x="366"/>
        <item x="4"/>
        <item x="843"/>
        <item x="750"/>
        <item x="740"/>
        <item x="367"/>
        <item x="892"/>
        <item x="497"/>
        <item x="545"/>
        <item x="193"/>
        <item x="96"/>
        <item x="932"/>
        <item x="218"/>
        <item x="14"/>
        <item x="656"/>
        <item x="313"/>
        <item x="207"/>
        <item x="214"/>
        <item x="893"/>
        <item x="493"/>
        <item x="348"/>
        <item x="43"/>
        <item x="634"/>
        <item x="126"/>
        <item x="525"/>
        <item x="529"/>
        <item x="839"/>
        <item x="444"/>
        <item x="575"/>
        <item x="464"/>
        <item x="590"/>
        <item x="247"/>
        <item x="205"/>
        <item x="679"/>
        <item x="469"/>
        <item x="478"/>
        <item x="677"/>
        <item x="641"/>
        <item x="206"/>
        <item x="449"/>
        <item x="823"/>
        <item x="537"/>
        <item x="678"/>
        <item x="17"/>
        <item x="615"/>
        <item x="617"/>
        <item x="393"/>
        <item x="183"/>
        <item x="182"/>
        <item x="267"/>
        <item x="169"/>
        <item x="774"/>
        <item x="457"/>
        <item x="803"/>
        <item x="586"/>
        <item x="263"/>
        <item x="361"/>
        <item x="401"/>
        <item x="68"/>
        <item x="752"/>
        <item x="376"/>
        <item x="431"/>
        <item x="417"/>
        <item x="777"/>
        <item x="654"/>
        <item x="885"/>
        <item x="427"/>
        <item x="463"/>
        <item x="922"/>
        <item x="676"/>
        <item x="65"/>
        <item x="682"/>
        <item x="696"/>
        <item x="257"/>
        <item x="861"/>
        <item x="302"/>
        <item x="470"/>
        <item x="612"/>
        <item x="373"/>
        <item x="599"/>
        <item x="115"/>
        <item x="642"/>
        <item x="229"/>
        <item x="404"/>
        <item x="291"/>
        <item x="791"/>
        <item x="121"/>
        <item x="521"/>
        <item x="384"/>
        <item x="814"/>
        <item x="472"/>
        <item x="289"/>
        <item x="505"/>
        <item x="762"/>
        <item x="195"/>
        <item x="790"/>
        <item x="2"/>
        <item x="222"/>
        <item x="458"/>
        <item x="428"/>
        <item x="189"/>
        <item x="724"/>
        <item x="166"/>
        <item x="381"/>
        <item x="736"/>
        <item x="488"/>
        <item x="144"/>
        <item x="876"/>
        <item x="34"/>
        <item x="272"/>
        <item x="22"/>
        <item x="362"/>
        <item x="723"/>
        <item x="383"/>
        <item x="314"/>
        <item x="432"/>
        <item x="433"/>
        <item x="328"/>
        <item x="402"/>
        <item x="479"/>
        <item x="44"/>
        <item x="277"/>
        <item x="745"/>
        <item x="111"/>
        <item x="243"/>
        <item x="73"/>
        <item x="688"/>
        <item x="42"/>
        <item x="890"/>
        <item x="177"/>
        <item x="626"/>
        <item x="265"/>
        <item x="368"/>
        <item x="270"/>
        <item x="870"/>
        <item x="389"/>
        <item x="440"/>
        <item x="709"/>
        <item x="338"/>
        <item x="489"/>
        <item x="886"/>
        <item x="188"/>
        <item x="274"/>
        <item x="334"/>
        <item x="787"/>
        <item x="608"/>
        <item x="873"/>
        <item x="252"/>
        <item x="340"/>
        <item x="148"/>
        <item x="835"/>
        <item x="800"/>
        <item x="633"/>
        <item x="312"/>
        <item x="450"/>
        <item x="698"/>
        <item x="815"/>
        <item x="559"/>
        <item x="910"/>
        <item x="86"/>
        <item x="915"/>
        <item x="175"/>
        <item x="335"/>
        <item x="727"/>
        <item x="28"/>
        <item x="122"/>
        <item x="613"/>
        <item x="600"/>
        <item x="127"/>
        <item x="629"/>
        <item x="643"/>
        <item x="75"/>
        <item x="722"/>
        <item x="934"/>
        <item x="41"/>
        <item x="447"/>
        <item x="496"/>
        <item x="129"/>
        <item x="421"/>
        <item x="596"/>
        <item x="248"/>
        <item x="535"/>
        <item x="453"/>
        <item x="416"/>
        <item x="56"/>
        <item x="637"/>
        <item x="211"/>
        <item x="767"/>
        <item x="674"/>
        <item x="232"/>
        <item x="251"/>
        <item x="443"/>
        <item x="329"/>
        <item x="619"/>
        <item x="764"/>
        <item x="27"/>
        <item x="409"/>
        <item x="352"/>
        <item x="152"/>
        <item x="749"/>
        <item x="233"/>
        <item x="192"/>
        <item x="108"/>
        <item x="311"/>
        <item x="746"/>
        <item x="370"/>
        <item x="278"/>
        <item x="137"/>
        <item x="59"/>
        <item x="627"/>
        <item x="711"/>
        <item x="279"/>
        <item x="563"/>
        <item x="693"/>
        <item x="237"/>
        <item x="35"/>
        <item x="296"/>
        <item x="579"/>
        <item x="400"/>
        <item x="40"/>
        <item x="38"/>
        <item x="452"/>
        <item x="707"/>
        <item x="72"/>
        <item x="851"/>
        <item x="474"/>
        <item x="904"/>
        <item x="837"/>
        <item x="88"/>
        <item x="859"/>
        <item x="320"/>
        <item x="179"/>
        <item x="359"/>
        <item x="131"/>
        <item x="592"/>
        <item x="919"/>
        <item x="295"/>
        <item x="92"/>
        <item x="100"/>
        <item x="119"/>
        <item x="513"/>
        <item x="238"/>
        <item x="589"/>
        <item x="810"/>
        <item x="618"/>
        <item x="143"/>
        <item x="377"/>
        <item x="713"/>
        <item x="621"/>
        <item x="574"/>
        <item x="104"/>
        <item x="236"/>
        <item x="82"/>
        <item x="487"/>
        <item x="407"/>
        <item x="157"/>
        <item x="930"/>
        <item x="194"/>
        <item x="825"/>
        <item x="541"/>
        <item x="625"/>
        <item x="874"/>
        <item x="531"/>
        <item x="819"/>
        <item x="543"/>
        <item x="354"/>
        <item x="931"/>
        <item x="468"/>
        <item x="282"/>
        <item x="140"/>
        <item x="356"/>
        <item x="81"/>
        <item x="448"/>
        <item x="281"/>
        <item x="539"/>
        <item x="828"/>
        <item x="117"/>
        <item x="363"/>
        <item x="783"/>
        <item x="388"/>
        <item x="540"/>
        <item x="219"/>
        <item x="742"/>
        <item x="665"/>
        <item x="551"/>
        <item x="517"/>
        <item x="317"/>
        <item x="162"/>
        <item x="64"/>
        <item x="868"/>
        <item x="58"/>
        <item x="79"/>
        <item x="901"/>
        <item x="80"/>
        <item x="781"/>
        <item x="845"/>
        <item x="765"/>
        <item x="423"/>
        <item x="553"/>
        <item x="824"/>
        <item x="244"/>
        <item x="526"/>
        <item x="877"/>
        <item x="687"/>
        <item x="490"/>
        <item x="748"/>
        <item x="883"/>
        <item x="339"/>
        <item x="11"/>
        <item x="795"/>
        <item x="187"/>
        <item x="593"/>
        <item x="285"/>
        <item x="570"/>
        <item x="120"/>
        <item x="716"/>
        <item x="811"/>
        <item x="571"/>
        <item x="294"/>
        <item x="284"/>
        <item x="578"/>
        <item x="392"/>
        <item x="276"/>
        <item x="683"/>
        <item x="536"/>
        <item x="821"/>
        <item x="480"/>
        <item x="567"/>
        <item x="139"/>
        <item x="249"/>
        <item x="74"/>
        <item x="147"/>
        <item x="168"/>
        <item x="454"/>
        <item x="429"/>
        <item x="442"/>
        <item x="595"/>
        <item x="107"/>
        <item x="446"/>
        <item x="847"/>
        <item x="710"/>
        <item x="771"/>
        <item x="510"/>
        <item x="702"/>
        <item x="914"/>
        <item x="466"/>
        <item x="753"/>
        <item x="735"/>
        <item x="387"/>
        <item x="226"/>
        <item x="744"/>
        <item x="48"/>
        <item x="659"/>
        <item x="498"/>
        <item x="355"/>
        <item x="582"/>
        <item x="142"/>
        <item x="568"/>
        <item x="30"/>
        <item x="879"/>
        <item x="792"/>
        <item x="636"/>
        <item x="899"/>
        <item x="20"/>
        <item x="106"/>
        <item x="881"/>
        <item x="266"/>
        <item x="813"/>
        <item x="426"/>
        <item x="467"/>
        <item x="516"/>
        <item x="391"/>
        <item x="717"/>
        <item x="299"/>
        <item x="161"/>
        <item x="47"/>
        <item x="731"/>
        <item x="715"/>
        <item x="303"/>
        <item x="300"/>
        <item x="880"/>
        <item x="601"/>
        <item x="181"/>
        <item x="221"/>
        <item x="664"/>
        <item x="680"/>
        <item x="849"/>
        <item x="204"/>
        <item x="491"/>
        <item x="273"/>
        <item x="379"/>
        <item x="925"/>
        <item x="875"/>
        <item x="70"/>
        <item x="866"/>
        <item x="113"/>
        <item x="522"/>
        <item x="798"/>
        <item x="838"/>
        <item x="485"/>
        <item x="228"/>
        <item x="156"/>
        <item x="572"/>
        <item x="76"/>
        <item x="832"/>
        <item x="345"/>
        <item x="562"/>
        <item x="720"/>
        <item x="125"/>
        <item x="591"/>
        <item x="573"/>
        <item x="667"/>
        <item x="623"/>
        <item x="906"/>
        <item x="171"/>
        <item x="78"/>
        <item x="7"/>
        <item x="128"/>
        <item x="353"/>
        <item x="351"/>
        <item x="365"/>
        <item x="318"/>
        <item x="245"/>
        <item x="923"/>
        <item x="588"/>
        <item x="6"/>
        <item x="936"/>
        <item x="481"/>
        <item x="61"/>
        <item x="45"/>
        <item x="262"/>
        <item x="542"/>
        <item x="462"/>
        <item x="213"/>
        <item x="836"/>
        <item x="160"/>
        <item x="408"/>
        <item x="37"/>
        <item x="685"/>
        <item x="532"/>
        <item x="556"/>
        <item x="719"/>
        <item x="158"/>
        <item x="371"/>
        <item x="920"/>
        <item x="834"/>
        <item x="528"/>
        <item x="141"/>
        <item x="190"/>
        <item x="635"/>
        <item x="135"/>
        <item x="797"/>
        <item x="483"/>
        <item x="271"/>
        <item x="770"/>
        <item x="669"/>
        <item x="584"/>
        <item x="253"/>
        <item x="425"/>
        <item x="888"/>
        <item x="436"/>
        <item x="261"/>
        <item x="926"/>
        <item x="269"/>
        <item x="184"/>
        <item x="268"/>
        <item x="651"/>
        <item x="390"/>
        <item x="546"/>
        <item x="705"/>
        <item x="307"/>
        <item x="737"/>
        <item x="779"/>
        <item x="46"/>
        <item x="699"/>
        <item x="112"/>
        <item x="921"/>
        <item x="831"/>
        <item x="630"/>
        <item x="484"/>
        <item x="611"/>
        <item x="51"/>
        <item x="118"/>
        <item x="701"/>
        <item x="405"/>
        <item x="895"/>
        <item x="19"/>
        <item x="755"/>
        <item x="385"/>
        <item x="681"/>
        <item x="894"/>
        <item x="768"/>
        <item x="788"/>
        <item x="290"/>
        <item x="99"/>
        <item x="504"/>
        <item x="395"/>
        <item x="865"/>
        <item x="8"/>
        <item x="514"/>
        <item x="503"/>
        <item x="686"/>
        <item x="758"/>
        <item x="308"/>
        <item x="90"/>
        <item x="805"/>
        <item x="649"/>
        <item x="826"/>
        <item x="217"/>
        <item x="692"/>
        <item x="756"/>
        <item x="374"/>
        <item x="647"/>
        <item x="451"/>
        <item x="103"/>
        <item x="594"/>
        <item x="624"/>
        <item x="32"/>
        <item x="853"/>
        <item x="757"/>
        <item x="598"/>
        <item x="185"/>
        <item x="785"/>
        <item x="326"/>
        <item x="547"/>
        <item x="511"/>
        <item x="632"/>
        <item x="499"/>
        <item x="242"/>
        <item x="666"/>
        <item x="671"/>
        <item x="410"/>
        <item x="482"/>
        <item x="689"/>
        <item x="616"/>
        <item x="337"/>
        <item x="231"/>
        <item x="234"/>
        <item x="50"/>
        <item x="33"/>
        <item x="435"/>
        <item x="225"/>
        <item x="327"/>
        <item x="494"/>
        <item x="855"/>
        <item x="29"/>
        <item x="782"/>
        <item x="817"/>
        <item x="240"/>
        <item x="661"/>
        <item x="465"/>
        <item x="191"/>
        <item x="87"/>
        <item x="721"/>
        <item x="15"/>
        <item x="198"/>
        <item x="639"/>
        <item x="375"/>
        <item x="884"/>
        <item x="585"/>
        <item x="673"/>
        <item x="714"/>
        <item x="260"/>
        <item x="93"/>
        <item x="747"/>
        <item x="684"/>
        <item x="309"/>
        <item x="459"/>
        <item x="0"/>
        <item x="316"/>
        <item x="412"/>
        <item x="170"/>
        <item x="475"/>
        <item x="918"/>
        <item x="830"/>
        <item x="310"/>
        <item x="871"/>
        <item x="202"/>
        <item x="928"/>
        <item x="180"/>
        <item x="940"/>
        <item x="872"/>
        <item x="743"/>
        <item x="456"/>
        <item x="155"/>
        <item x="662"/>
        <item x="730"/>
        <item x="25"/>
        <item x="741"/>
        <item x="604"/>
        <item x="933"/>
        <item x="789"/>
        <item x="518"/>
        <item x="554"/>
        <item x="83"/>
        <item x="319"/>
        <item x="939"/>
        <item x="816"/>
        <item x="712"/>
        <item x="369"/>
        <item x="94"/>
        <item x="846"/>
        <item x="780"/>
        <item x="69"/>
        <item x="622"/>
        <item x="558"/>
        <item x="230"/>
        <item x="71"/>
        <item x="793"/>
        <item x="645"/>
        <item x="658"/>
        <item x="708"/>
        <item x="286"/>
        <item x="799"/>
        <item x="902"/>
        <item x="364"/>
        <item x="763"/>
        <item x="216"/>
        <item x="437"/>
        <item x="833"/>
        <item x="420"/>
        <item x="909"/>
        <item x="223"/>
        <item x="557"/>
        <item t="default"/>
      </items>
    </pivotField>
    <pivotField showAll="0"/>
    <pivotField showAll="0">
      <items count="18">
        <item x="7"/>
        <item x="1"/>
        <item x="15"/>
        <item x="12"/>
        <item x="3"/>
        <item x="13"/>
        <item x="8"/>
        <item x="9"/>
        <item x="10"/>
        <item x="4"/>
        <item x="2"/>
        <item x="11"/>
        <item x="6"/>
        <item x="5"/>
        <item x="16"/>
        <item x="0"/>
        <item x="14"/>
        <item t="default"/>
      </items>
    </pivotField>
    <pivotField showAll="0">
      <items count="3">
        <item x="0"/>
        <item x="1"/>
        <item t="default"/>
      </items>
    </pivotField>
    <pivotField axis="axisRow" showAll="0">
      <items count="4">
        <item x="2"/>
        <item x="0"/>
        <item x="1"/>
        <item t="default"/>
      </items>
    </pivotField>
    <pivotField showAll="0"/>
    <pivotField showAll="0"/>
    <pivotField showAll="0">
      <items count="13">
        <item x="1"/>
        <item x="3"/>
        <item x="5"/>
        <item x="4"/>
        <item x="9"/>
        <item x="2"/>
        <item x="11"/>
        <item x="8"/>
        <item x="10"/>
        <item x="6"/>
        <item x="7"/>
        <item x="0"/>
        <item t="default"/>
      </items>
    </pivotField>
    <pivotField showAll="0"/>
    <pivotField showAll="0"/>
    <pivotField showAll="0"/>
    <pivotField showAll="0">
      <items count="21">
        <item x="8"/>
        <item x="13"/>
        <item x="10"/>
        <item x="17"/>
        <item x="5"/>
        <item x="3"/>
        <item x="1"/>
        <item x="16"/>
        <item x="15"/>
        <item x="4"/>
        <item x="19"/>
        <item x="12"/>
        <item x="9"/>
        <item x="0"/>
        <item x="11"/>
        <item x="18"/>
        <item x="7"/>
        <item x="2"/>
        <item x="6"/>
        <item x="14"/>
        <item t="default"/>
      </items>
    </pivotField>
    <pivotField showAll="0">
      <items count="11">
        <item x="3"/>
        <item x="9"/>
        <item x="1"/>
        <item x="0"/>
        <item x="8"/>
        <item x="7"/>
        <item x="5"/>
        <item x="6"/>
        <item x="2"/>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Items count="1">
    <i/>
  </colItems>
  <dataFields count="1">
    <dataField name="Count of booking_id" fld="0" subtotal="count" baseField="8" baseItem="0"/>
  </dataFields>
  <chartFormats count="8">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8" count="1" selected="0">
            <x v="0"/>
          </reference>
        </references>
      </pivotArea>
    </chartFormat>
    <chartFormat chart="6" format="7">
      <pivotArea type="data" outline="0" fieldPosition="0">
        <references count="2">
          <reference field="4294967294" count="1" selected="0">
            <x v="0"/>
          </reference>
          <reference field="8" count="1" selected="0">
            <x v="1"/>
          </reference>
        </references>
      </pivotArea>
    </chartFormat>
    <chartFormat chart="6" format="8">
      <pivotArea type="data" outline="0" fieldPosition="0">
        <references count="2">
          <reference field="4294967294" count="1" selected="0">
            <x v="0"/>
          </reference>
          <reference field="8" count="1" selected="0">
            <x v="2"/>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31F2D34-C1B3-436F-B32A-B7F46CCCDF4D}" name="PivotTable6"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9:B42" firstHeaderRow="1" firstDataRow="1" firstDataCol="1"/>
  <pivotFields count="19">
    <pivotField showAll="0"/>
    <pivotField showAll="0"/>
    <pivotField showAll="0"/>
    <pivotField showAll="0"/>
    <pivotField numFmtId="164" showAll="0">
      <items count="943">
        <item x="775"/>
        <item x="784"/>
        <item x="60"/>
        <item x="889"/>
        <item x="341"/>
        <item x="908"/>
        <item x="54"/>
        <item x="159"/>
        <item x="461"/>
        <item x="259"/>
        <item x="802"/>
        <item x="394"/>
        <item x="344"/>
        <item x="438"/>
        <item x="924"/>
        <item x="718"/>
        <item x="609"/>
        <item x="332"/>
        <item x="827"/>
        <item x="434"/>
        <item x="500"/>
        <item x="173"/>
        <item x="577"/>
        <item x="380"/>
        <item x="898"/>
        <item x="26"/>
        <item x="418"/>
        <item x="794"/>
        <item x="896"/>
        <item x="403"/>
        <item x="200"/>
        <item x="646"/>
        <item x="587"/>
        <item x="67"/>
        <item x="929"/>
        <item x="657"/>
        <item x="186"/>
        <item x="534"/>
        <item x="869"/>
        <item x="146"/>
        <item x="31"/>
        <item x="778"/>
        <item x="856"/>
        <item x="445"/>
        <item x="258"/>
        <item x="607"/>
        <item x="256"/>
        <item x="255"/>
        <item x="502"/>
        <item x="36"/>
        <item x="512"/>
        <item x="441"/>
        <item x="580"/>
        <item x="844"/>
        <item x="937"/>
        <item x="751"/>
        <item x="415"/>
        <item x="700"/>
        <item x="863"/>
        <item x="773"/>
        <item x="150"/>
        <item x="116"/>
        <item x="297"/>
        <item x="533"/>
        <item x="897"/>
        <item x="638"/>
        <item x="398"/>
        <item x="52"/>
        <item x="761"/>
        <item x="530"/>
        <item x="602"/>
        <item x="134"/>
        <item x="840"/>
        <item x="1"/>
        <item x="903"/>
        <item x="95"/>
        <item x="550"/>
        <item x="304"/>
        <item x="564"/>
        <item x="97"/>
        <item x="891"/>
        <item x="164"/>
        <item x="13"/>
        <item x="109"/>
        <item x="640"/>
        <item x="878"/>
        <item x="581"/>
        <item x="343"/>
        <item x="728"/>
        <item x="786"/>
        <item x="900"/>
        <item x="114"/>
        <item x="357"/>
        <item x="935"/>
        <item x="53"/>
        <item x="63"/>
        <item x="275"/>
        <item x="386"/>
        <item x="858"/>
        <item x="209"/>
        <item x="3"/>
        <item x="887"/>
        <item x="39"/>
        <item x="330"/>
        <item x="460"/>
        <item x="331"/>
        <item x="24"/>
        <item x="912"/>
        <item x="208"/>
        <item x="854"/>
        <item x="288"/>
        <item x="648"/>
        <item x="12"/>
        <item x="89"/>
        <item x="201"/>
        <item x="523"/>
        <item x="555"/>
        <item x="508"/>
        <item x="325"/>
        <item x="174"/>
        <item x="298"/>
        <item x="610"/>
        <item x="938"/>
        <item x="852"/>
        <item x="569"/>
        <item x="738"/>
        <item x="197"/>
        <item x="283"/>
        <item x="561"/>
        <item x="138"/>
        <item x="149"/>
        <item x="725"/>
        <item x="812"/>
        <item x="105"/>
        <item x="860"/>
        <item x="424"/>
        <item x="315"/>
        <item x="382"/>
        <item x="916"/>
        <item x="333"/>
        <item x="527"/>
        <item x="196"/>
        <item x="287"/>
        <item x="808"/>
        <item x="301"/>
        <item x="576"/>
        <item x="729"/>
        <item x="145"/>
        <item x="694"/>
        <item x="215"/>
        <item x="620"/>
        <item x="85"/>
        <item x="239"/>
        <item x="703"/>
        <item x="506"/>
        <item x="123"/>
        <item x="907"/>
        <item x="842"/>
        <item x="199"/>
        <item x="406"/>
        <item x="227"/>
        <item x="548"/>
        <item x="841"/>
        <item x="98"/>
        <item x="759"/>
        <item x="246"/>
        <item x="167"/>
        <item x="57"/>
        <item x="732"/>
        <item x="220"/>
        <item x="21"/>
        <item x="172"/>
        <item x="804"/>
        <item x="419"/>
        <item x="848"/>
        <item x="91"/>
        <item x="650"/>
        <item x="734"/>
        <item x="566"/>
        <item x="102"/>
        <item x="414"/>
        <item x="430"/>
        <item x="372"/>
        <item x="10"/>
        <item x="917"/>
        <item x="583"/>
        <item x="691"/>
        <item x="754"/>
        <item x="867"/>
        <item x="110"/>
        <item x="631"/>
        <item x="153"/>
        <item x="151"/>
        <item x="241"/>
        <item x="323"/>
        <item x="23"/>
        <item x="163"/>
        <item x="733"/>
        <item x="818"/>
        <item x="293"/>
        <item x="552"/>
        <item x="495"/>
        <item x="706"/>
        <item x="397"/>
        <item x="477"/>
        <item x="519"/>
        <item x="704"/>
        <item x="697"/>
        <item x="322"/>
        <item x="809"/>
        <item x="690"/>
        <item x="124"/>
        <item x="668"/>
        <item x="672"/>
        <item x="305"/>
        <item x="5"/>
        <item x="360"/>
        <item x="350"/>
        <item x="473"/>
        <item x="549"/>
        <item x="399"/>
        <item x="614"/>
        <item x="347"/>
        <item x="66"/>
        <item x="280"/>
        <item x="212"/>
        <item x="606"/>
        <item x="760"/>
        <item x="133"/>
        <item x="411"/>
        <item x="660"/>
        <item x="210"/>
        <item x="471"/>
        <item x="264"/>
        <item x="18"/>
        <item x="905"/>
        <item x="224"/>
        <item x="235"/>
        <item x="250"/>
        <item x="520"/>
        <item x="675"/>
        <item x="628"/>
        <item x="292"/>
        <item x="439"/>
        <item x="653"/>
        <item x="941"/>
        <item x="822"/>
        <item x="820"/>
        <item x="49"/>
        <item x="455"/>
        <item x="154"/>
        <item x="806"/>
        <item x="55"/>
        <item x="165"/>
        <item x="911"/>
        <item x="695"/>
        <item x="560"/>
        <item x="801"/>
        <item x="670"/>
        <item x="652"/>
        <item x="342"/>
        <item x="655"/>
        <item x="769"/>
        <item x="422"/>
        <item x="9"/>
        <item x="644"/>
        <item x="807"/>
        <item x="776"/>
        <item x="927"/>
        <item x="913"/>
        <item x="739"/>
        <item x="605"/>
        <item x="766"/>
        <item x="515"/>
        <item x="84"/>
        <item x="62"/>
        <item x="16"/>
        <item x="396"/>
        <item x="663"/>
        <item x="178"/>
        <item x="346"/>
        <item x="862"/>
        <item x="336"/>
        <item x="829"/>
        <item x="538"/>
        <item x="132"/>
        <item x="882"/>
        <item x="358"/>
        <item x="413"/>
        <item x="857"/>
        <item x="306"/>
        <item x="524"/>
        <item x="509"/>
        <item x="507"/>
        <item x="544"/>
        <item x="349"/>
        <item x="203"/>
        <item x="176"/>
        <item x="378"/>
        <item x="501"/>
        <item x="565"/>
        <item x="603"/>
        <item x="492"/>
        <item x="864"/>
        <item x="726"/>
        <item x="101"/>
        <item x="130"/>
        <item x="476"/>
        <item x="254"/>
        <item x="77"/>
        <item x="324"/>
        <item x="486"/>
        <item x="772"/>
        <item x="796"/>
        <item x="850"/>
        <item x="597"/>
        <item x="136"/>
        <item x="321"/>
        <item x="366"/>
        <item x="4"/>
        <item x="843"/>
        <item x="750"/>
        <item x="740"/>
        <item x="367"/>
        <item x="892"/>
        <item x="497"/>
        <item x="545"/>
        <item x="193"/>
        <item x="96"/>
        <item x="932"/>
        <item x="218"/>
        <item x="14"/>
        <item x="656"/>
        <item x="313"/>
        <item x="207"/>
        <item x="214"/>
        <item x="893"/>
        <item x="493"/>
        <item x="348"/>
        <item x="43"/>
        <item x="634"/>
        <item x="126"/>
        <item x="525"/>
        <item x="529"/>
        <item x="839"/>
        <item x="444"/>
        <item x="575"/>
        <item x="464"/>
        <item x="590"/>
        <item x="247"/>
        <item x="205"/>
        <item x="679"/>
        <item x="469"/>
        <item x="478"/>
        <item x="677"/>
        <item x="641"/>
        <item x="206"/>
        <item x="449"/>
        <item x="823"/>
        <item x="537"/>
        <item x="678"/>
        <item x="17"/>
        <item x="615"/>
        <item x="617"/>
        <item x="393"/>
        <item x="183"/>
        <item x="182"/>
        <item x="267"/>
        <item x="169"/>
        <item x="774"/>
        <item x="457"/>
        <item x="803"/>
        <item x="586"/>
        <item x="263"/>
        <item x="361"/>
        <item x="401"/>
        <item x="68"/>
        <item x="752"/>
        <item x="376"/>
        <item x="431"/>
        <item x="417"/>
        <item x="777"/>
        <item x="654"/>
        <item x="885"/>
        <item x="427"/>
        <item x="463"/>
        <item x="922"/>
        <item x="676"/>
        <item x="65"/>
        <item x="682"/>
        <item x="696"/>
        <item x="257"/>
        <item x="861"/>
        <item x="302"/>
        <item x="470"/>
        <item x="612"/>
        <item x="373"/>
        <item x="599"/>
        <item x="115"/>
        <item x="642"/>
        <item x="229"/>
        <item x="404"/>
        <item x="291"/>
        <item x="791"/>
        <item x="121"/>
        <item x="521"/>
        <item x="384"/>
        <item x="814"/>
        <item x="472"/>
        <item x="289"/>
        <item x="505"/>
        <item x="762"/>
        <item x="195"/>
        <item x="790"/>
        <item x="2"/>
        <item x="222"/>
        <item x="458"/>
        <item x="428"/>
        <item x="189"/>
        <item x="724"/>
        <item x="166"/>
        <item x="381"/>
        <item x="736"/>
        <item x="488"/>
        <item x="144"/>
        <item x="876"/>
        <item x="34"/>
        <item x="272"/>
        <item x="22"/>
        <item x="362"/>
        <item x="723"/>
        <item x="383"/>
        <item x="314"/>
        <item x="432"/>
        <item x="433"/>
        <item x="328"/>
        <item x="402"/>
        <item x="479"/>
        <item x="44"/>
        <item x="277"/>
        <item x="745"/>
        <item x="111"/>
        <item x="243"/>
        <item x="73"/>
        <item x="688"/>
        <item x="42"/>
        <item x="890"/>
        <item x="177"/>
        <item x="626"/>
        <item x="265"/>
        <item x="368"/>
        <item x="270"/>
        <item x="870"/>
        <item x="389"/>
        <item x="440"/>
        <item x="709"/>
        <item x="338"/>
        <item x="489"/>
        <item x="886"/>
        <item x="188"/>
        <item x="274"/>
        <item x="334"/>
        <item x="787"/>
        <item x="608"/>
        <item x="873"/>
        <item x="252"/>
        <item x="340"/>
        <item x="148"/>
        <item x="835"/>
        <item x="800"/>
        <item x="633"/>
        <item x="312"/>
        <item x="450"/>
        <item x="698"/>
        <item x="815"/>
        <item x="559"/>
        <item x="910"/>
        <item x="86"/>
        <item x="915"/>
        <item x="175"/>
        <item x="335"/>
        <item x="727"/>
        <item x="28"/>
        <item x="122"/>
        <item x="613"/>
        <item x="600"/>
        <item x="127"/>
        <item x="629"/>
        <item x="643"/>
        <item x="75"/>
        <item x="722"/>
        <item x="934"/>
        <item x="41"/>
        <item x="447"/>
        <item x="496"/>
        <item x="129"/>
        <item x="421"/>
        <item x="596"/>
        <item x="248"/>
        <item x="535"/>
        <item x="453"/>
        <item x="416"/>
        <item x="56"/>
        <item x="637"/>
        <item x="211"/>
        <item x="767"/>
        <item x="674"/>
        <item x="232"/>
        <item x="251"/>
        <item x="443"/>
        <item x="329"/>
        <item x="619"/>
        <item x="764"/>
        <item x="27"/>
        <item x="409"/>
        <item x="352"/>
        <item x="152"/>
        <item x="749"/>
        <item x="233"/>
        <item x="192"/>
        <item x="108"/>
        <item x="311"/>
        <item x="746"/>
        <item x="370"/>
        <item x="278"/>
        <item x="137"/>
        <item x="59"/>
        <item x="627"/>
        <item x="711"/>
        <item x="279"/>
        <item x="563"/>
        <item x="693"/>
        <item x="237"/>
        <item x="35"/>
        <item x="296"/>
        <item x="579"/>
        <item x="400"/>
        <item x="40"/>
        <item x="38"/>
        <item x="452"/>
        <item x="707"/>
        <item x="72"/>
        <item x="851"/>
        <item x="474"/>
        <item x="904"/>
        <item x="837"/>
        <item x="88"/>
        <item x="859"/>
        <item x="320"/>
        <item x="179"/>
        <item x="359"/>
        <item x="131"/>
        <item x="592"/>
        <item x="919"/>
        <item x="295"/>
        <item x="92"/>
        <item x="100"/>
        <item x="119"/>
        <item x="513"/>
        <item x="238"/>
        <item x="589"/>
        <item x="810"/>
        <item x="618"/>
        <item x="143"/>
        <item x="377"/>
        <item x="713"/>
        <item x="621"/>
        <item x="574"/>
        <item x="104"/>
        <item x="236"/>
        <item x="82"/>
        <item x="487"/>
        <item x="407"/>
        <item x="157"/>
        <item x="930"/>
        <item x="194"/>
        <item x="825"/>
        <item x="541"/>
        <item x="625"/>
        <item x="874"/>
        <item x="531"/>
        <item x="819"/>
        <item x="543"/>
        <item x="354"/>
        <item x="931"/>
        <item x="468"/>
        <item x="282"/>
        <item x="140"/>
        <item x="356"/>
        <item x="81"/>
        <item x="448"/>
        <item x="281"/>
        <item x="539"/>
        <item x="828"/>
        <item x="117"/>
        <item x="363"/>
        <item x="783"/>
        <item x="388"/>
        <item x="540"/>
        <item x="219"/>
        <item x="742"/>
        <item x="665"/>
        <item x="551"/>
        <item x="517"/>
        <item x="317"/>
        <item x="162"/>
        <item x="64"/>
        <item x="868"/>
        <item x="58"/>
        <item x="79"/>
        <item x="901"/>
        <item x="80"/>
        <item x="781"/>
        <item x="845"/>
        <item x="765"/>
        <item x="423"/>
        <item x="553"/>
        <item x="824"/>
        <item x="244"/>
        <item x="526"/>
        <item x="877"/>
        <item x="687"/>
        <item x="490"/>
        <item x="748"/>
        <item x="883"/>
        <item x="339"/>
        <item x="11"/>
        <item x="795"/>
        <item x="187"/>
        <item x="593"/>
        <item x="285"/>
        <item x="570"/>
        <item x="120"/>
        <item x="716"/>
        <item x="811"/>
        <item x="571"/>
        <item x="294"/>
        <item x="284"/>
        <item x="578"/>
        <item x="392"/>
        <item x="276"/>
        <item x="683"/>
        <item x="536"/>
        <item x="821"/>
        <item x="480"/>
        <item x="567"/>
        <item x="139"/>
        <item x="249"/>
        <item x="74"/>
        <item x="147"/>
        <item x="168"/>
        <item x="454"/>
        <item x="429"/>
        <item x="442"/>
        <item x="595"/>
        <item x="107"/>
        <item x="446"/>
        <item x="847"/>
        <item x="710"/>
        <item x="771"/>
        <item x="510"/>
        <item x="702"/>
        <item x="914"/>
        <item x="466"/>
        <item x="753"/>
        <item x="735"/>
        <item x="387"/>
        <item x="226"/>
        <item x="744"/>
        <item x="48"/>
        <item x="659"/>
        <item x="498"/>
        <item x="355"/>
        <item x="582"/>
        <item x="142"/>
        <item x="568"/>
        <item x="30"/>
        <item x="879"/>
        <item x="792"/>
        <item x="636"/>
        <item x="899"/>
        <item x="20"/>
        <item x="106"/>
        <item x="881"/>
        <item x="266"/>
        <item x="813"/>
        <item x="426"/>
        <item x="467"/>
        <item x="516"/>
        <item x="391"/>
        <item x="717"/>
        <item x="299"/>
        <item x="161"/>
        <item x="47"/>
        <item x="731"/>
        <item x="715"/>
        <item x="303"/>
        <item x="300"/>
        <item x="880"/>
        <item x="601"/>
        <item x="181"/>
        <item x="221"/>
        <item x="664"/>
        <item x="680"/>
        <item x="849"/>
        <item x="204"/>
        <item x="491"/>
        <item x="273"/>
        <item x="379"/>
        <item x="925"/>
        <item x="875"/>
        <item x="70"/>
        <item x="866"/>
        <item x="113"/>
        <item x="522"/>
        <item x="798"/>
        <item x="838"/>
        <item x="485"/>
        <item x="228"/>
        <item x="156"/>
        <item x="572"/>
        <item x="76"/>
        <item x="832"/>
        <item x="345"/>
        <item x="562"/>
        <item x="720"/>
        <item x="125"/>
        <item x="591"/>
        <item x="573"/>
        <item x="667"/>
        <item x="623"/>
        <item x="906"/>
        <item x="171"/>
        <item x="78"/>
        <item x="7"/>
        <item x="128"/>
        <item x="353"/>
        <item x="351"/>
        <item x="365"/>
        <item x="318"/>
        <item x="245"/>
        <item x="923"/>
        <item x="588"/>
        <item x="6"/>
        <item x="936"/>
        <item x="481"/>
        <item x="61"/>
        <item x="45"/>
        <item x="262"/>
        <item x="542"/>
        <item x="462"/>
        <item x="213"/>
        <item x="836"/>
        <item x="160"/>
        <item x="408"/>
        <item x="37"/>
        <item x="685"/>
        <item x="532"/>
        <item x="556"/>
        <item x="719"/>
        <item x="158"/>
        <item x="371"/>
        <item x="920"/>
        <item x="834"/>
        <item x="528"/>
        <item x="141"/>
        <item x="190"/>
        <item x="635"/>
        <item x="135"/>
        <item x="797"/>
        <item x="483"/>
        <item x="271"/>
        <item x="770"/>
        <item x="669"/>
        <item x="584"/>
        <item x="253"/>
        <item x="425"/>
        <item x="888"/>
        <item x="436"/>
        <item x="261"/>
        <item x="926"/>
        <item x="269"/>
        <item x="184"/>
        <item x="268"/>
        <item x="651"/>
        <item x="390"/>
        <item x="546"/>
        <item x="705"/>
        <item x="307"/>
        <item x="737"/>
        <item x="779"/>
        <item x="46"/>
        <item x="699"/>
        <item x="112"/>
        <item x="921"/>
        <item x="831"/>
        <item x="630"/>
        <item x="484"/>
        <item x="611"/>
        <item x="51"/>
        <item x="118"/>
        <item x="701"/>
        <item x="405"/>
        <item x="895"/>
        <item x="19"/>
        <item x="755"/>
        <item x="385"/>
        <item x="681"/>
        <item x="894"/>
        <item x="768"/>
        <item x="788"/>
        <item x="290"/>
        <item x="99"/>
        <item x="504"/>
        <item x="395"/>
        <item x="865"/>
        <item x="8"/>
        <item x="514"/>
        <item x="503"/>
        <item x="686"/>
        <item x="758"/>
        <item x="308"/>
        <item x="90"/>
        <item x="805"/>
        <item x="649"/>
        <item x="826"/>
        <item x="217"/>
        <item x="692"/>
        <item x="756"/>
        <item x="374"/>
        <item x="647"/>
        <item x="451"/>
        <item x="103"/>
        <item x="594"/>
        <item x="624"/>
        <item x="32"/>
        <item x="853"/>
        <item x="757"/>
        <item x="598"/>
        <item x="185"/>
        <item x="785"/>
        <item x="326"/>
        <item x="547"/>
        <item x="511"/>
        <item x="632"/>
        <item x="499"/>
        <item x="242"/>
        <item x="666"/>
        <item x="671"/>
        <item x="410"/>
        <item x="482"/>
        <item x="689"/>
        <item x="616"/>
        <item x="337"/>
        <item x="231"/>
        <item x="234"/>
        <item x="50"/>
        <item x="33"/>
        <item x="435"/>
        <item x="225"/>
        <item x="327"/>
        <item x="494"/>
        <item x="855"/>
        <item x="29"/>
        <item x="782"/>
        <item x="817"/>
        <item x="240"/>
        <item x="661"/>
        <item x="465"/>
        <item x="191"/>
        <item x="87"/>
        <item x="721"/>
        <item x="15"/>
        <item x="198"/>
        <item x="639"/>
        <item x="375"/>
        <item x="884"/>
        <item x="585"/>
        <item x="673"/>
        <item x="714"/>
        <item x="260"/>
        <item x="93"/>
        <item x="747"/>
        <item x="684"/>
        <item x="309"/>
        <item x="459"/>
        <item x="0"/>
        <item x="316"/>
        <item x="412"/>
        <item x="170"/>
        <item x="475"/>
        <item x="918"/>
        <item x="830"/>
        <item x="310"/>
        <item x="871"/>
        <item x="202"/>
        <item x="928"/>
        <item x="180"/>
        <item x="940"/>
        <item x="872"/>
        <item x="743"/>
        <item x="456"/>
        <item x="155"/>
        <item x="662"/>
        <item x="730"/>
        <item x="25"/>
        <item x="741"/>
        <item x="604"/>
        <item x="933"/>
        <item x="789"/>
        <item x="518"/>
        <item x="554"/>
        <item x="83"/>
        <item x="319"/>
        <item x="939"/>
        <item x="816"/>
        <item x="712"/>
        <item x="369"/>
        <item x="94"/>
        <item x="846"/>
        <item x="780"/>
        <item x="69"/>
        <item x="622"/>
        <item x="558"/>
        <item x="230"/>
        <item x="71"/>
        <item x="793"/>
        <item x="645"/>
        <item x="658"/>
        <item x="708"/>
        <item x="286"/>
        <item x="799"/>
        <item x="902"/>
        <item x="364"/>
        <item x="763"/>
        <item x="216"/>
        <item x="437"/>
        <item x="833"/>
        <item x="420"/>
        <item x="909"/>
        <item x="223"/>
        <item x="557"/>
        <item t="default"/>
      </items>
    </pivotField>
    <pivotField showAll="0"/>
    <pivotField dataField="1" showAll="0">
      <items count="18">
        <item x="7"/>
        <item x="1"/>
        <item x="15"/>
        <item x="12"/>
        <item x="3"/>
        <item x="13"/>
        <item x="8"/>
        <item x="9"/>
        <item x="10"/>
        <item x="4"/>
        <item x="2"/>
        <item x="11"/>
        <item x="6"/>
        <item x="5"/>
        <item x="16"/>
        <item x="0"/>
        <item x="14"/>
        <item t="default"/>
      </items>
    </pivotField>
    <pivotField showAll="0">
      <items count="3">
        <item x="0"/>
        <item x="1"/>
        <item t="default"/>
      </items>
    </pivotField>
    <pivotField showAll="0">
      <items count="4">
        <item x="2"/>
        <item x="0"/>
        <item x="1"/>
        <item t="default"/>
      </items>
    </pivotField>
    <pivotField showAll="0"/>
    <pivotField showAll="0"/>
    <pivotField axis="axisRow" showAll="0">
      <items count="13">
        <item x="1"/>
        <item x="3"/>
        <item x="5"/>
        <item x="4"/>
        <item x="9"/>
        <item x="2"/>
        <item x="11"/>
        <item x="8"/>
        <item x="10"/>
        <item x="6"/>
        <item x="7"/>
        <item x="0"/>
        <item t="default"/>
      </items>
    </pivotField>
    <pivotField showAll="0"/>
    <pivotField showAll="0"/>
    <pivotField showAll="0"/>
    <pivotField showAll="0">
      <items count="21">
        <item x="8"/>
        <item x="13"/>
        <item x="10"/>
        <item x="17"/>
        <item x="5"/>
        <item x="3"/>
        <item x="1"/>
        <item x="16"/>
        <item x="15"/>
        <item x="4"/>
        <item x="19"/>
        <item x="12"/>
        <item x="9"/>
        <item x="0"/>
        <item x="11"/>
        <item x="18"/>
        <item x="7"/>
        <item x="2"/>
        <item x="6"/>
        <item x="14"/>
        <item t="default"/>
      </items>
    </pivotField>
    <pivotField showAll="0">
      <items count="11">
        <item x="3"/>
        <item x="9"/>
        <item x="1"/>
        <item x="0"/>
        <item x="8"/>
        <item x="7"/>
        <item x="5"/>
        <item x="6"/>
        <item x="2"/>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13">
    <i>
      <x/>
    </i>
    <i>
      <x v="1"/>
    </i>
    <i>
      <x v="2"/>
    </i>
    <i>
      <x v="3"/>
    </i>
    <i>
      <x v="4"/>
    </i>
    <i>
      <x v="5"/>
    </i>
    <i>
      <x v="6"/>
    </i>
    <i>
      <x v="7"/>
    </i>
    <i>
      <x v="8"/>
    </i>
    <i>
      <x v="9"/>
    </i>
    <i>
      <x v="10"/>
    </i>
    <i>
      <x v="11"/>
    </i>
    <i t="grand">
      <x/>
    </i>
  </rowItems>
  <colItems count="1">
    <i/>
  </colItems>
  <dataFields count="1">
    <dataField name="Sum of ticket_amount" fld="6" baseField="0" baseItem="0"/>
  </dataFields>
  <chartFormats count="2">
    <chartFormat chart="4"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80863EE-AB4E-4E7D-8B84-CE04B2F9D025}" name="PivotTable21" cacheId="33"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6">
  <location ref="A88:V100" firstHeaderRow="1" firstDataRow="2" firstDataCol="1"/>
  <pivotFields count="19">
    <pivotField dataField="1" showAll="0"/>
    <pivotField showAll="0"/>
    <pivotField showAll="0"/>
    <pivotField showAll="0"/>
    <pivotField numFmtId="164" showAll="0">
      <items count="943">
        <item x="775"/>
        <item x="784"/>
        <item x="60"/>
        <item x="889"/>
        <item x="341"/>
        <item x="908"/>
        <item x="54"/>
        <item x="159"/>
        <item x="461"/>
        <item x="259"/>
        <item x="802"/>
        <item x="394"/>
        <item x="344"/>
        <item x="438"/>
        <item x="924"/>
        <item x="718"/>
        <item x="609"/>
        <item x="332"/>
        <item x="827"/>
        <item x="434"/>
        <item x="500"/>
        <item x="173"/>
        <item x="577"/>
        <item x="380"/>
        <item x="898"/>
        <item x="26"/>
        <item x="418"/>
        <item x="794"/>
        <item x="896"/>
        <item x="403"/>
        <item x="200"/>
        <item x="646"/>
        <item x="587"/>
        <item x="67"/>
        <item x="929"/>
        <item x="657"/>
        <item x="186"/>
        <item x="534"/>
        <item x="869"/>
        <item x="146"/>
        <item x="31"/>
        <item x="778"/>
        <item x="856"/>
        <item x="445"/>
        <item x="258"/>
        <item x="607"/>
        <item x="256"/>
        <item x="255"/>
        <item x="502"/>
        <item x="36"/>
        <item x="512"/>
        <item x="441"/>
        <item x="580"/>
        <item x="844"/>
        <item x="937"/>
        <item x="751"/>
        <item x="415"/>
        <item x="700"/>
        <item x="863"/>
        <item x="773"/>
        <item x="150"/>
        <item x="116"/>
        <item x="297"/>
        <item x="533"/>
        <item x="897"/>
        <item x="638"/>
        <item x="398"/>
        <item x="52"/>
        <item x="761"/>
        <item x="530"/>
        <item x="602"/>
        <item x="134"/>
        <item x="840"/>
        <item x="1"/>
        <item x="903"/>
        <item x="95"/>
        <item x="550"/>
        <item x="304"/>
        <item x="564"/>
        <item x="97"/>
        <item x="891"/>
        <item x="164"/>
        <item x="13"/>
        <item x="109"/>
        <item x="640"/>
        <item x="878"/>
        <item x="581"/>
        <item x="343"/>
        <item x="728"/>
        <item x="786"/>
        <item x="900"/>
        <item x="114"/>
        <item x="357"/>
        <item x="935"/>
        <item x="53"/>
        <item x="63"/>
        <item x="275"/>
        <item x="386"/>
        <item x="858"/>
        <item x="209"/>
        <item x="3"/>
        <item x="887"/>
        <item x="39"/>
        <item x="330"/>
        <item x="460"/>
        <item x="331"/>
        <item x="24"/>
        <item x="912"/>
        <item x="208"/>
        <item x="854"/>
        <item x="288"/>
        <item x="648"/>
        <item x="12"/>
        <item x="89"/>
        <item x="201"/>
        <item x="523"/>
        <item x="555"/>
        <item x="508"/>
        <item x="325"/>
        <item x="174"/>
        <item x="298"/>
        <item x="610"/>
        <item x="938"/>
        <item x="852"/>
        <item x="569"/>
        <item x="738"/>
        <item x="197"/>
        <item x="283"/>
        <item x="561"/>
        <item x="138"/>
        <item x="149"/>
        <item x="725"/>
        <item x="812"/>
        <item x="105"/>
        <item x="860"/>
        <item x="424"/>
        <item x="315"/>
        <item x="382"/>
        <item x="916"/>
        <item x="333"/>
        <item x="527"/>
        <item x="196"/>
        <item x="287"/>
        <item x="808"/>
        <item x="301"/>
        <item x="576"/>
        <item x="729"/>
        <item x="145"/>
        <item x="694"/>
        <item x="215"/>
        <item x="620"/>
        <item x="85"/>
        <item x="239"/>
        <item x="703"/>
        <item x="506"/>
        <item x="123"/>
        <item x="907"/>
        <item x="842"/>
        <item x="199"/>
        <item x="406"/>
        <item x="227"/>
        <item x="548"/>
        <item x="841"/>
        <item x="98"/>
        <item x="759"/>
        <item x="246"/>
        <item x="167"/>
        <item x="57"/>
        <item x="732"/>
        <item x="220"/>
        <item x="21"/>
        <item x="172"/>
        <item x="804"/>
        <item x="419"/>
        <item x="848"/>
        <item x="91"/>
        <item x="650"/>
        <item x="734"/>
        <item x="566"/>
        <item x="102"/>
        <item x="414"/>
        <item x="430"/>
        <item x="372"/>
        <item x="10"/>
        <item x="917"/>
        <item x="583"/>
        <item x="691"/>
        <item x="754"/>
        <item x="867"/>
        <item x="110"/>
        <item x="631"/>
        <item x="153"/>
        <item x="151"/>
        <item x="241"/>
        <item x="323"/>
        <item x="23"/>
        <item x="163"/>
        <item x="733"/>
        <item x="818"/>
        <item x="293"/>
        <item x="552"/>
        <item x="495"/>
        <item x="706"/>
        <item x="397"/>
        <item x="477"/>
        <item x="519"/>
        <item x="704"/>
        <item x="697"/>
        <item x="322"/>
        <item x="809"/>
        <item x="690"/>
        <item x="124"/>
        <item x="668"/>
        <item x="672"/>
        <item x="305"/>
        <item x="5"/>
        <item x="360"/>
        <item x="350"/>
        <item x="473"/>
        <item x="549"/>
        <item x="399"/>
        <item x="614"/>
        <item x="347"/>
        <item x="66"/>
        <item x="280"/>
        <item x="212"/>
        <item x="606"/>
        <item x="760"/>
        <item x="133"/>
        <item x="411"/>
        <item x="660"/>
        <item x="210"/>
        <item x="471"/>
        <item x="264"/>
        <item x="18"/>
        <item x="905"/>
        <item x="224"/>
        <item x="235"/>
        <item x="250"/>
        <item x="520"/>
        <item x="675"/>
        <item x="628"/>
        <item x="292"/>
        <item x="439"/>
        <item x="653"/>
        <item x="941"/>
        <item x="822"/>
        <item x="820"/>
        <item x="49"/>
        <item x="455"/>
        <item x="154"/>
        <item x="806"/>
        <item x="55"/>
        <item x="165"/>
        <item x="911"/>
        <item x="695"/>
        <item x="560"/>
        <item x="801"/>
        <item x="670"/>
        <item x="652"/>
        <item x="342"/>
        <item x="655"/>
        <item x="769"/>
        <item x="422"/>
        <item x="9"/>
        <item x="644"/>
        <item x="807"/>
        <item x="776"/>
        <item x="927"/>
        <item x="913"/>
        <item x="739"/>
        <item x="605"/>
        <item x="766"/>
        <item x="515"/>
        <item x="84"/>
        <item x="62"/>
        <item x="16"/>
        <item x="396"/>
        <item x="663"/>
        <item x="178"/>
        <item x="346"/>
        <item x="862"/>
        <item x="336"/>
        <item x="829"/>
        <item x="538"/>
        <item x="132"/>
        <item x="882"/>
        <item x="358"/>
        <item x="413"/>
        <item x="857"/>
        <item x="306"/>
        <item x="524"/>
        <item x="509"/>
        <item x="507"/>
        <item x="544"/>
        <item x="349"/>
        <item x="203"/>
        <item x="176"/>
        <item x="378"/>
        <item x="501"/>
        <item x="565"/>
        <item x="603"/>
        <item x="492"/>
        <item x="864"/>
        <item x="726"/>
        <item x="101"/>
        <item x="130"/>
        <item x="476"/>
        <item x="254"/>
        <item x="77"/>
        <item x="324"/>
        <item x="486"/>
        <item x="772"/>
        <item x="796"/>
        <item x="850"/>
        <item x="597"/>
        <item x="136"/>
        <item x="321"/>
        <item x="366"/>
        <item x="4"/>
        <item x="843"/>
        <item x="750"/>
        <item x="740"/>
        <item x="367"/>
        <item x="892"/>
        <item x="497"/>
        <item x="545"/>
        <item x="193"/>
        <item x="96"/>
        <item x="932"/>
        <item x="218"/>
        <item x="14"/>
        <item x="656"/>
        <item x="313"/>
        <item x="207"/>
        <item x="214"/>
        <item x="893"/>
        <item x="493"/>
        <item x="348"/>
        <item x="43"/>
        <item x="634"/>
        <item x="126"/>
        <item x="525"/>
        <item x="529"/>
        <item x="839"/>
        <item x="444"/>
        <item x="575"/>
        <item x="464"/>
        <item x="590"/>
        <item x="247"/>
        <item x="205"/>
        <item x="679"/>
        <item x="469"/>
        <item x="478"/>
        <item x="677"/>
        <item x="641"/>
        <item x="206"/>
        <item x="449"/>
        <item x="823"/>
        <item x="537"/>
        <item x="678"/>
        <item x="17"/>
        <item x="615"/>
        <item x="617"/>
        <item x="393"/>
        <item x="183"/>
        <item x="182"/>
        <item x="267"/>
        <item x="169"/>
        <item x="774"/>
        <item x="457"/>
        <item x="803"/>
        <item x="586"/>
        <item x="263"/>
        <item x="361"/>
        <item x="401"/>
        <item x="68"/>
        <item x="752"/>
        <item x="376"/>
        <item x="431"/>
        <item x="417"/>
        <item x="777"/>
        <item x="654"/>
        <item x="885"/>
        <item x="427"/>
        <item x="463"/>
        <item x="922"/>
        <item x="676"/>
        <item x="65"/>
        <item x="682"/>
        <item x="696"/>
        <item x="257"/>
        <item x="861"/>
        <item x="302"/>
        <item x="470"/>
        <item x="612"/>
        <item x="373"/>
        <item x="599"/>
        <item x="115"/>
        <item x="642"/>
        <item x="229"/>
        <item x="404"/>
        <item x="291"/>
        <item x="791"/>
        <item x="121"/>
        <item x="521"/>
        <item x="384"/>
        <item x="814"/>
        <item x="472"/>
        <item x="289"/>
        <item x="505"/>
        <item x="762"/>
        <item x="195"/>
        <item x="790"/>
        <item x="2"/>
        <item x="222"/>
        <item x="458"/>
        <item x="428"/>
        <item x="189"/>
        <item x="724"/>
        <item x="166"/>
        <item x="381"/>
        <item x="736"/>
        <item x="488"/>
        <item x="144"/>
        <item x="876"/>
        <item x="34"/>
        <item x="272"/>
        <item x="22"/>
        <item x="362"/>
        <item x="723"/>
        <item x="383"/>
        <item x="314"/>
        <item x="432"/>
        <item x="433"/>
        <item x="328"/>
        <item x="402"/>
        <item x="479"/>
        <item x="44"/>
        <item x="277"/>
        <item x="745"/>
        <item x="111"/>
        <item x="243"/>
        <item x="73"/>
        <item x="688"/>
        <item x="42"/>
        <item x="890"/>
        <item x="177"/>
        <item x="626"/>
        <item x="265"/>
        <item x="368"/>
        <item x="270"/>
        <item x="870"/>
        <item x="389"/>
        <item x="440"/>
        <item x="709"/>
        <item x="338"/>
        <item x="489"/>
        <item x="886"/>
        <item x="188"/>
        <item x="274"/>
        <item x="334"/>
        <item x="787"/>
        <item x="608"/>
        <item x="873"/>
        <item x="252"/>
        <item x="340"/>
        <item x="148"/>
        <item x="835"/>
        <item x="800"/>
        <item x="633"/>
        <item x="312"/>
        <item x="450"/>
        <item x="698"/>
        <item x="815"/>
        <item x="559"/>
        <item x="910"/>
        <item x="86"/>
        <item x="915"/>
        <item x="175"/>
        <item x="335"/>
        <item x="727"/>
        <item x="28"/>
        <item x="122"/>
        <item x="613"/>
        <item x="600"/>
        <item x="127"/>
        <item x="629"/>
        <item x="643"/>
        <item x="75"/>
        <item x="722"/>
        <item x="934"/>
        <item x="41"/>
        <item x="447"/>
        <item x="496"/>
        <item x="129"/>
        <item x="421"/>
        <item x="596"/>
        <item x="248"/>
        <item x="535"/>
        <item x="453"/>
        <item x="416"/>
        <item x="56"/>
        <item x="637"/>
        <item x="211"/>
        <item x="767"/>
        <item x="674"/>
        <item x="232"/>
        <item x="251"/>
        <item x="443"/>
        <item x="329"/>
        <item x="619"/>
        <item x="764"/>
        <item x="27"/>
        <item x="409"/>
        <item x="352"/>
        <item x="152"/>
        <item x="749"/>
        <item x="233"/>
        <item x="192"/>
        <item x="108"/>
        <item x="311"/>
        <item x="746"/>
        <item x="370"/>
        <item x="278"/>
        <item x="137"/>
        <item x="59"/>
        <item x="627"/>
        <item x="711"/>
        <item x="279"/>
        <item x="563"/>
        <item x="693"/>
        <item x="237"/>
        <item x="35"/>
        <item x="296"/>
        <item x="579"/>
        <item x="400"/>
        <item x="40"/>
        <item x="38"/>
        <item x="452"/>
        <item x="707"/>
        <item x="72"/>
        <item x="851"/>
        <item x="474"/>
        <item x="904"/>
        <item x="837"/>
        <item x="88"/>
        <item x="859"/>
        <item x="320"/>
        <item x="179"/>
        <item x="359"/>
        <item x="131"/>
        <item x="592"/>
        <item x="919"/>
        <item x="295"/>
        <item x="92"/>
        <item x="100"/>
        <item x="119"/>
        <item x="513"/>
        <item x="238"/>
        <item x="589"/>
        <item x="810"/>
        <item x="618"/>
        <item x="143"/>
        <item x="377"/>
        <item x="713"/>
        <item x="621"/>
        <item x="574"/>
        <item x="104"/>
        <item x="236"/>
        <item x="82"/>
        <item x="487"/>
        <item x="407"/>
        <item x="157"/>
        <item x="930"/>
        <item x="194"/>
        <item x="825"/>
        <item x="541"/>
        <item x="625"/>
        <item x="874"/>
        <item x="531"/>
        <item x="819"/>
        <item x="543"/>
        <item x="354"/>
        <item x="931"/>
        <item x="468"/>
        <item x="282"/>
        <item x="140"/>
        <item x="356"/>
        <item x="81"/>
        <item x="448"/>
        <item x="281"/>
        <item x="539"/>
        <item x="828"/>
        <item x="117"/>
        <item x="363"/>
        <item x="783"/>
        <item x="388"/>
        <item x="540"/>
        <item x="219"/>
        <item x="742"/>
        <item x="665"/>
        <item x="551"/>
        <item x="517"/>
        <item x="317"/>
        <item x="162"/>
        <item x="64"/>
        <item x="868"/>
        <item x="58"/>
        <item x="79"/>
        <item x="901"/>
        <item x="80"/>
        <item x="781"/>
        <item x="845"/>
        <item x="765"/>
        <item x="423"/>
        <item x="553"/>
        <item x="824"/>
        <item x="244"/>
        <item x="526"/>
        <item x="877"/>
        <item x="687"/>
        <item x="490"/>
        <item x="748"/>
        <item x="883"/>
        <item x="339"/>
        <item x="11"/>
        <item x="795"/>
        <item x="187"/>
        <item x="593"/>
        <item x="285"/>
        <item x="570"/>
        <item x="120"/>
        <item x="716"/>
        <item x="811"/>
        <item x="571"/>
        <item x="294"/>
        <item x="284"/>
        <item x="578"/>
        <item x="392"/>
        <item x="276"/>
        <item x="683"/>
        <item x="536"/>
        <item x="821"/>
        <item x="480"/>
        <item x="567"/>
        <item x="139"/>
        <item x="249"/>
        <item x="74"/>
        <item x="147"/>
        <item x="168"/>
        <item x="454"/>
        <item x="429"/>
        <item x="442"/>
        <item x="595"/>
        <item x="107"/>
        <item x="446"/>
        <item x="847"/>
        <item x="710"/>
        <item x="771"/>
        <item x="510"/>
        <item x="702"/>
        <item x="914"/>
        <item x="466"/>
        <item x="753"/>
        <item x="735"/>
        <item x="387"/>
        <item x="226"/>
        <item x="744"/>
        <item x="48"/>
        <item x="659"/>
        <item x="498"/>
        <item x="355"/>
        <item x="582"/>
        <item x="142"/>
        <item x="568"/>
        <item x="30"/>
        <item x="879"/>
        <item x="792"/>
        <item x="636"/>
        <item x="899"/>
        <item x="20"/>
        <item x="106"/>
        <item x="881"/>
        <item x="266"/>
        <item x="813"/>
        <item x="426"/>
        <item x="467"/>
        <item x="516"/>
        <item x="391"/>
        <item x="717"/>
        <item x="299"/>
        <item x="161"/>
        <item x="47"/>
        <item x="731"/>
        <item x="715"/>
        <item x="303"/>
        <item x="300"/>
        <item x="880"/>
        <item x="601"/>
        <item x="181"/>
        <item x="221"/>
        <item x="664"/>
        <item x="680"/>
        <item x="849"/>
        <item x="204"/>
        <item x="491"/>
        <item x="273"/>
        <item x="379"/>
        <item x="925"/>
        <item x="875"/>
        <item x="70"/>
        <item x="866"/>
        <item x="113"/>
        <item x="522"/>
        <item x="798"/>
        <item x="838"/>
        <item x="485"/>
        <item x="228"/>
        <item x="156"/>
        <item x="572"/>
        <item x="76"/>
        <item x="832"/>
        <item x="345"/>
        <item x="562"/>
        <item x="720"/>
        <item x="125"/>
        <item x="591"/>
        <item x="573"/>
        <item x="667"/>
        <item x="623"/>
        <item x="906"/>
        <item x="171"/>
        <item x="78"/>
        <item x="7"/>
        <item x="128"/>
        <item x="353"/>
        <item x="351"/>
        <item x="365"/>
        <item x="318"/>
        <item x="245"/>
        <item x="923"/>
        <item x="588"/>
        <item x="6"/>
        <item x="936"/>
        <item x="481"/>
        <item x="61"/>
        <item x="45"/>
        <item x="262"/>
        <item x="542"/>
        <item x="462"/>
        <item x="213"/>
        <item x="836"/>
        <item x="160"/>
        <item x="408"/>
        <item x="37"/>
        <item x="685"/>
        <item x="532"/>
        <item x="556"/>
        <item x="719"/>
        <item x="158"/>
        <item x="371"/>
        <item x="920"/>
        <item x="834"/>
        <item x="528"/>
        <item x="141"/>
        <item x="190"/>
        <item x="635"/>
        <item x="135"/>
        <item x="797"/>
        <item x="483"/>
        <item x="271"/>
        <item x="770"/>
        <item x="669"/>
        <item x="584"/>
        <item x="253"/>
        <item x="425"/>
        <item x="888"/>
        <item x="436"/>
        <item x="261"/>
        <item x="926"/>
        <item x="269"/>
        <item x="184"/>
        <item x="268"/>
        <item x="651"/>
        <item x="390"/>
        <item x="546"/>
        <item x="705"/>
        <item x="307"/>
        <item x="737"/>
        <item x="779"/>
        <item x="46"/>
        <item x="699"/>
        <item x="112"/>
        <item x="921"/>
        <item x="831"/>
        <item x="630"/>
        <item x="484"/>
        <item x="611"/>
        <item x="51"/>
        <item x="118"/>
        <item x="701"/>
        <item x="405"/>
        <item x="895"/>
        <item x="19"/>
        <item x="755"/>
        <item x="385"/>
        <item x="681"/>
        <item x="894"/>
        <item x="768"/>
        <item x="788"/>
        <item x="290"/>
        <item x="99"/>
        <item x="504"/>
        <item x="395"/>
        <item x="865"/>
        <item x="8"/>
        <item x="514"/>
        <item x="503"/>
        <item x="686"/>
        <item x="758"/>
        <item x="308"/>
        <item x="90"/>
        <item x="805"/>
        <item x="649"/>
        <item x="826"/>
        <item x="217"/>
        <item x="692"/>
        <item x="756"/>
        <item x="374"/>
        <item x="647"/>
        <item x="451"/>
        <item x="103"/>
        <item x="594"/>
        <item x="624"/>
        <item x="32"/>
        <item x="853"/>
        <item x="757"/>
        <item x="598"/>
        <item x="185"/>
        <item x="785"/>
        <item x="326"/>
        <item x="547"/>
        <item x="511"/>
        <item x="632"/>
        <item x="499"/>
        <item x="242"/>
        <item x="666"/>
        <item x="671"/>
        <item x="410"/>
        <item x="482"/>
        <item x="689"/>
        <item x="616"/>
        <item x="337"/>
        <item x="231"/>
        <item x="234"/>
        <item x="50"/>
        <item x="33"/>
        <item x="435"/>
        <item x="225"/>
        <item x="327"/>
        <item x="494"/>
        <item x="855"/>
        <item x="29"/>
        <item x="782"/>
        <item x="817"/>
        <item x="240"/>
        <item x="661"/>
        <item x="465"/>
        <item x="191"/>
        <item x="87"/>
        <item x="721"/>
        <item x="15"/>
        <item x="198"/>
        <item x="639"/>
        <item x="375"/>
        <item x="884"/>
        <item x="585"/>
        <item x="673"/>
        <item x="714"/>
        <item x="260"/>
        <item x="93"/>
        <item x="747"/>
        <item x="684"/>
        <item x="309"/>
        <item x="459"/>
        <item x="0"/>
        <item x="316"/>
        <item x="412"/>
        <item x="170"/>
        <item x="475"/>
        <item x="918"/>
        <item x="830"/>
        <item x="310"/>
        <item x="871"/>
        <item x="202"/>
        <item x="928"/>
        <item x="180"/>
        <item x="940"/>
        <item x="872"/>
        <item x="743"/>
        <item x="456"/>
        <item x="155"/>
        <item x="662"/>
        <item x="730"/>
        <item x="25"/>
        <item x="741"/>
        <item x="604"/>
        <item x="933"/>
        <item x="789"/>
        <item x="518"/>
        <item x="554"/>
        <item x="83"/>
        <item x="319"/>
        <item x="939"/>
        <item x="816"/>
        <item x="712"/>
        <item x="369"/>
        <item x="94"/>
        <item x="846"/>
        <item x="780"/>
        <item x="69"/>
        <item x="622"/>
        <item x="558"/>
        <item x="230"/>
        <item x="71"/>
        <item x="793"/>
        <item x="645"/>
        <item x="658"/>
        <item x="708"/>
        <item x="286"/>
        <item x="799"/>
        <item x="902"/>
        <item x="364"/>
        <item x="763"/>
        <item x="216"/>
        <item x="437"/>
        <item x="833"/>
        <item x="420"/>
        <item x="909"/>
        <item x="223"/>
        <item x="557"/>
        <item t="default"/>
      </items>
    </pivotField>
    <pivotField showAll="0"/>
    <pivotField showAll="0">
      <items count="18">
        <item x="7"/>
        <item x="1"/>
        <item x="15"/>
        <item x="12"/>
        <item x="3"/>
        <item x="13"/>
        <item x="8"/>
        <item x="9"/>
        <item x="10"/>
        <item x="4"/>
        <item x="2"/>
        <item x="11"/>
        <item x="6"/>
        <item x="5"/>
        <item x="16"/>
        <item x="0"/>
        <item x="14"/>
        <item t="default"/>
      </items>
    </pivotField>
    <pivotField showAll="0">
      <items count="3">
        <item x="0"/>
        <item x="1"/>
        <item t="default"/>
      </items>
    </pivotField>
    <pivotField showAll="0">
      <items count="4">
        <item x="2"/>
        <item x="0"/>
        <item x="1"/>
        <item t="default"/>
      </items>
    </pivotField>
    <pivotField showAll="0"/>
    <pivotField showAll="0"/>
    <pivotField showAll="0">
      <items count="13">
        <item x="1"/>
        <item x="3"/>
        <item x="5"/>
        <item x="4"/>
        <item x="9"/>
        <item x="2"/>
        <item x="11"/>
        <item x="8"/>
        <item x="10"/>
        <item x="6"/>
        <item x="7"/>
        <item x="0"/>
        <item t="default"/>
      </items>
    </pivotField>
    <pivotField showAll="0"/>
    <pivotField showAll="0"/>
    <pivotField showAll="0"/>
    <pivotField axis="axisCol" showAll="0">
      <items count="21">
        <item x="8"/>
        <item x="13"/>
        <item x="10"/>
        <item x="17"/>
        <item x="5"/>
        <item x="3"/>
        <item x="1"/>
        <item x="16"/>
        <item x="15"/>
        <item x="4"/>
        <item x="19"/>
        <item x="12"/>
        <item x="9"/>
        <item x="0"/>
        <item x="11"/>
        <item x="18"/>
        <item x="7"/>
        <item x="2"/>
        <item x="6"/>
        <item x="14"/>
        <item t="default"/>
      </items>
    </pivotField>
    <pivotField axis="axisRow" showAll="0" sortType="descending">
      <items count="11">
        <item x="3"/>
        <item x="9"/>
        <item x="1"/>
        <item x="0"/>
        <item x="8"/>
        <item x="7"/>
        <item x="5"/>
        <item x="6"/>
        <item x="2"/>
        <item x="4"/>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6"/>
  </rowFields>
  <rowItems count="11">
    <i>
      <x v="3"/>
    </i>
    <i>
      <x v="2"/>
    </i>
    <i>
      <x v="5"/>
    </i>
    <i>
      <x v="7"/>
    </i>
    <i>
      <x v="8"/>
    </i>
    <i>
      <x v="9"/>
    </i>
    <i>
      <x/>
    </i>
    <i>
      <x v="1"/>
    </i>
    <i>
      <x v="4"/>
    </i>
    <i>
      <x v="6"/>
    </i>
    <i t="grand">
      <x/>
    </i>
  </rowItems>
  <colFields count="1">
    <field x="15"/>
  </colFields>
  <colItems count="21">
    <i>
      <x/>
    </i>
    <i>
      <x v="1"/>
    </i>
    <i>
      <x v="2"/>
    </i>
    <i>
      <x v="3"/>
    </i>
    <i>
      <x v="4"/>
    </i>
    <i>
      <x v="5"/>
    </i>
    <i>
      <x v="6"/>
    </i>
    <i>
      <x v="7"/>
    </i>
    <i>
      <x v="8"/>
    </i>
    <i>
      <x v="9"/>
    </i>
    <i>
      <x v="10"/>
    </i>
    <i>
      <x v="11"/>
    </i>
    <i>
      <x v="12"/>
    </i>
    <i>
      <x v="13"/>
    </i>
    <i>
      <x v="14"/>
    </i>
    <i>
      <x v="15"/>
    </i>
    <i>
      <x v="16"/>
    </i>
    <i>
      <x v="17"/>
    </i>
    <i>
      <x v="18"/>
    </i>
    <i>
      <x v="19"/>
    </i>
    <i t="grand">
      <x/>
    </i>
  </colItems>
  <dataFields count="1">
    <dataField name="Count of booking_id" fld="0" subtotal="count" baseField="16" baseItem="0"/>
  </dataFields>
  <formats count="1">
    <format dxfId="396">
      <pivotArea outline="0" collapsedLevelsAreSubtotals="1" fieldPosition="0"/>
    </format>
  </formats>
  <chartFormats count="21">
    <chartFormat chart="4" format="40" series="1">
      <pivotArea type="data" outline="0" fieldPosition="0">
        <references count="2">
          <reference field="4294967294" count="1" selected="0">
            <x v="0"/>
          </reference>
          <reference field="15" count="1" selected="0">
            <x v="0"/>
          </reference>
        </references>
      </pivotArea>
    </chartFormat>
    <chartFormat chart="4" format="41" series="1">
      <pivotArea type="data" outline="0" fieldPosition="0">
        <references count="2">
          <reference field="4294967294" count="1" selected="0">
            <x v="0"/>
          </reference>
          <reference field="15" count="1" selected="0">
            <x v="1"/>
          </reference>
        </references>
      </pivotArea>
    </chartFormat>
    <chartFormat chart="4" format="42" series="1">
      <pivotArea type="data" outline="0" fieldPosition="0">
        <references count="2">
          <reference field="4294967294" count="1" selected="0">
            <x v="0"/>
          </reference>
          <reference field="15" count="1" selected="0">
            <x v="2"/>
          </reference>
        </references>
      </pivotArea>
    </chartFormat>
    <chartFormat chart="4" format="43" series="1">
      <pivotArea type="data" outline="0" fieldPosition="0">
        <references count="2">
          <reference field="4294967294" count="1" selected="0">
            <x v="0"/>
          </reference>
          <reference field="15" count="1" selected="0">
            <x v="3"/>
          </reference>
        </references>
      </pivotArea>
    </chartFormat>
    <chartFormat chart="4" format="44" series="1">
      <pivotArea type="data" outline="0" fieldPosition="0">
        <references count="2">
          <reference field="4294967294" count="1" selected="0">
            <x v="0"/>
          </reference>
          <reference field="15" count="1" selected="0">
            <x v="4"/>
          </reference>
        </references>
      </pivotArea>
    </chartFormat>
    <chartFormat chart="4" format="45" series="1">
      <pivotArea type="data" outline="0" fieldPosition="0">
        <references count="2">
          <reference field="4294967294" count="1" selected="0">
            <x v="0"/>
          </reference>
          <reference field="15" count="1" selected="0">
            <x v="5"/>
          </reference>
        </references>
      </pivotArea>
    </chartFormat>
    <chartFormat chart="4" format="46" series="1">
      <pivotArea type="data" outline="0" fieldPosition="0">
        <references count="2">
          <reference field="4294967294" count="1" selected="0">
            <x v="0"/>
          </reference>
          <reference field="15" count="1" selected="0">
            <x v="6"/>
          </reference>
        </references>
      </pivotArea>
    </chartFormat>
    <chartFormat chart="4" format="47" series="1">
      <pivotArea type="data" outline="0" fieldPosition="0">
        <references count="2">
          <reference field="4294967294" count="1" selected="0">
            <x v="0"/>
          </reference>
          <reference field="15" count="1" selected="0">
            <x v="7"/>
          </reference>
        </references>
      </pivotArea>
    </chartFormat>
    <chartFormat chart="4" format="48" series="1">
      <pivotArea type="data" outline="0" fieldPosition="0">
        <references count="2">
          <reference field="4294967294" count="1" selected="0">
            <x v="0"/>
          </reference>
          <reference field="15" count="1" selected="0">
            <x v="8"/>
          </reference>
        </references>
      </pivotArea>
    </chartFormat>
    <chartFormat chart="4" format="49" series="1">
      <pivotArea type="data" outline="0" fieldPosition="0">
        <references count="2">
          <reference field="4294967294" count="1" selected="0">
            <x v="0"/>
          </reference>
          <reference field="15" count="1" selected="0">
            <x v="9"/>
          </reference>
        </references>
      </pivotArea>
    </chartFormat>
    <chartFormat chart="4" format="50" series="1">
      <pivotArea type="data" outline="0" fieldPosition="0">
        <references count="2">
          <reference field="4294967294" count="1" selected="0">
            <x v="0"/>
          </reference>
          <reference field="15" count="1" selected="0">
            <x v="10"/>
          </reference>
        </references>
      </pivotArea>
    </chartFormat>
    <chartFormat chart="4" format="51" series="1">
      <pivotArea type="data" outline="0" fieldPosition="0">
        <references count="2">
          <reference field="4294967294" count="1" selected="0">
            <x v="0"/>
          </reference>
          <reference field="15" count="1" selected="0">
            <x v="11"/>
          </reference>
        </references>
      </pivotArea>
    </chartFormat>
    <chartFormat chart="4" format="52" series="1">
      <pivotArea type="data" outline="0" fieldPosition="0">
        <references count="2">
          <reference field="4294967294" count="1" selected="0">
            <x v="0"/>
          </reference>
          <reference field="15" count="1" selected="0">
            <x v="12"/>
          </reference>
        </references>
      </pivotArea>
    </chartFormat>
    <chartFormat chart="4" format="53" series="1">
      <pivotArea type="data" outline="0" fieldPosition="0">
        <references count="2">
          <reference field="4294967294" count="1" selected="0">
            <x v="0"/>
          </reference>
          <reference field="15" count="1" selected="0">
            <x v="13"/>
          </reference>
        </references>
      </pivotArea>
    </chartFormat>
    <chartFormat chart="4" format="54" series="1">
      <pivotArea type="data" outline="0" fieldPosition="0">
        <references count="2">
          <reference field="4294967294" count="1" selected="0">
            <x v="0"/>
          </reference>
          <reference field="15" count="1" selected="0">
            <x v="14"/>
          </reference>
        </references>
      </pivotArea>
    </chartFormat>
    <chartFormat chart="4" format="55" series="1">
      <pivotArea type="data" outline="0" fieldPosition="0">
        <references count="2">
          <reference field="4294967294" count="1" selected="0">
            <x v="0"/>
          </reference>
          <reference field="15" count="1" selected="0">
            <x v="15"/>
          </reference>
        </references>
      </pivotArea>
    </chartFormat>
    <chartFormat chart="4" format="56" series="1">
      <pivotArea type="data" outline="0" fieldPosition="0">
        <references count="2">
          <reference field="4294967294" count="1" selected="0">
            <x v="0"/>
          </reference>
          <reference field="15" count="1" selected="0">
            <x v="16"/>
          </reference>
        </references>
      </pivotArea>
    </chartFormat>
    <chartFormat chart="4" format="57" series="1">
      <pivotArea type="data" outline="0" fieldPosition="0">
        <references count="2">
          <reference field="4294967294" count="1" selected="0">
            <x v="0"/>
          </reference>
          <reference field="15" count="1" selected="0">
            <x v="17"/>
          </reference>
        </references>
      </pivotArea>
    </chartFormat>
    <chartFormat chart="4" format="58" series="1">
      <pivotArea type="data" outline="0" fieldPosition="0">
        <references count="2">
          <reference field="4294967294" count="1" selected="0">
            <x v="0"/>
          </reference>
          <reference field="15" count="1" selected="0">
            <x v="18"/>
          </reference>
        </references>
      </pivotArea>
    </chartFormat>
    <chartFormat chart="4" format="59" series="1">
      <pivotArea type="data" outline="0" fieldPosition="0">
        <references count="2">
          <reference field="4294967294" count="1" selected="0">
            <x v="0"/>
          </reference>
          <reference field="15" count="1" selected="0">
            <x v="19"/>
          </reference>
        </references>
      </pivotArea>
    </chartFormat>
    <chartFormat chart="4" format="6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FEB7E2A-9497-4FC9-86E7-37E17C335C44}" name="PivotTable1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9">
    <pivotField showAll="0"/>
    <pivotField showAll="0"/>
    <pivotField showAll="0"/>
    <pivotField showAll="0"/>
    <pivotField numFmtId="164" showAll="0">
      <items count="943">
        <item x="775"/>
        <item x="784"/>
        <item x="60"/>
        <item x="889"/>
        <item x="341"/>
        <item x="908"/>
        <item x="54"/>
        <item x="159"/>
        <item x="461"/>
        <item x="259"/>
        <item x="802"/>
        <item x="394"/>
        <item x="344"/>
        <item x="438"/>
        <item x="924"/>
        <item x="718"/>
        <item x="609"/>
        <item x="332"/>
        <item x="827"/>
        <item x="434"/>
        <item x="500"/>
        <item x="173"/>
        <item x="577"/>
        <item x="380"/>
        <item x="898"/>
        <item x="26"/>
        <item x="418"/>
        <item x="794"/>
        <item x="896"/>
        <item x="403"/>
        <item x="200"/>
        <item x="646"/>
        <item x="587"/>
        <item x="67"/>
        <item x="929"/>
        <item x="657"/>
        <item x="186"/>
        <item x="534"/>
        <item x="869"/>
        <item x="146"/>
        <item x="31"/>
        <item x="778"/>
        <item x="856"/>
        <item x="445"/>
        <item x="258"/>
        <item x="607"/>
        <item x="256"/>
        <item x="255"/>
        <item x="502"/>
        <item x="36"/>
        <item x="512"/>
        <item x="441"/>
        <item x="580"/>
        <item x="844"/>
        <item x="937"/>
        <item x="751"/>
        <item x="415"/>
        <item x="700"/>
        <item x="863"/>
        <item x="773"/>
        <item x="150"/>
        <item x="116"/>
        <item x="297"/>
        <item x="533"/>
        <item x="897"/>
        <item x="638"/>
        <item x="398"/>
        <item x="52"/>
        <item x="761"/>
        <item x="530"/>
        <item x="602"/>
        <item x="134"/>
        <item x="840"/>
        <item x="1"/>
        <item x="903"/>
        <item x="95"/>
        <item x="550"/>
        <item x="304"/>
        <item x="564"/>
        <item x="97"/>
        <item x="891"/>
        <item x="164"/>
        <item x="13"/>
        <item x="109"/>
        <item x="640"/>
        <item x="878"/>
        <item x="581"/>
        <item x="343"/>
        <item x="728"/>
        <item x="786"/>
        <item x="900"/>
        <item x="114"/>
        <item x="357"/>
        <item x="935"/>
        <item x="53"/>
        <item x="63"/>
        <item x="275"/>
        <item x="386"/>
        <item x="858"/>
        <item x="209"/>
        <item x="3"/>
        <item x="887"/>
        <item x="39"/>
        <item x="330"/>
        <item x="460"/>
        <item x="331"/>
        <item x="24"/>
        <item x="912"/>
        <item x="208"/>
        <item x="854"/>
        <item x="288"/>
        <item x="648"/>
        <item x="12"/>
        <item x="89"/>
        <item x="201"/>
        <item x="523"/>
        <item x="555"/>
        <item x="508"/>
        <item x="325"/>
        <item x="174"/>
        <item x="298"/>
        <item x="610"/>
        <item x="938"/>
        <item x="852"/>
        <item x="569"/>
        <item x="738"/>
        <item x="197"/>
        <item x="283"/>
        <item x="561"/>
        <item x="138"/>
        <item x="149"/>
        <item x="725"/>
        <item x="812"/>
        <item x="105"/>
        <item x="860"/>
        <item x="424"/>
        <item x="315"/>
        <item x="382"/>
        <item x="916"/>
        <item x="333"/>
        <item x="527"/>
        <item x="196"/>
        <item x="287"/>
        <item x="808"/>
        <item x="301"/>
        <item x="576"/>
        <item x="729"/>
        <item x="145"/>
        <item x="694"/>
        <item x="215"/>
        <item x="620"/>
        <item x="85"/>
        <item x="239"/>
        <item x="703"/>
        <item x="506"/>
        <item x="123"/>
        <item x="907"/>
        <item x="842"/>
        <item x="199"/>
        <item x="406"/>
        <item x="227"/>
        <item x="548"/>
        <item x="841"/>
        <item x="98"/>
        <item x="759"/>
        <item x="246"/>
        <item x="167"/>
        <item x="57"/>
        <item x="732"/>
        <item x="220"/>
        <item x="21"/>
        <item x="172"/>
        <item x="804"/>
        <item x="419"/>
        <item x="848"/>
        <item x="91"/>
        <item x="650"/>
        <item x="734"/>
        <item x="566"/>
        <item x="102"/>
        <item x="414"/>
        <item x="430"/>
        <item x="372"/>
        <item x="10"/>
        <item x="917"/>
        <item x="583"/>
        <item x="691"/>
        <item x="754"/>
        <item x="867"/>
        <item x="110"/>
        <item x="631"/>
        <item x="153"/>
        <item x="151"/>
        <item x="241"/>
        <item x="323"/>
        <item x="23"/>
        <item x="163"/>
        <item x="733"/>
        <item x="818"/>
        <item x="293"/>
        <item x="552"/>
        <item x="495"/>
        <item x="706"/>
        <item x="397"/>
        <item x="477"/>
        <item x="519"/>
        <item x="704"/>
        <item x="697"/>
        <item x="322"/>
        <item x="809"/>
        <item x="690"/>
        <item x="124"/>
        <item x="668"/>
        <item x="672"/>
        <item x="305"/>
        <item x="5"/>
        <item x="360"/>
        <item x="350"/>
        <item x="473"/>
        <item x="549"/>
        <item x="399"/>
        <item x="614"/>
        <item x="347"/>
        <item x="66"/>
        <item x="280"/>
        <item x="212"/>
        <item x="606"/>
        <item x="760"/>
        <item x="133"/>
        <item x="411"/>
        <item x="660"/>
        <item x="210"/>
        <item x="471"/>
        <item x="264"/>
        <item x="18"/>
        <item x="905"/>
        <item x="224"/>
        <item x="235"/>
        <item x="250"/>
        <item x="520"/>
        <item x="675"/>
        <item x="628"/>
        <item x="292"/>
        <item x="439"/>
        <item x="653"/>
        <item x="941"/>
        <item x="822"/>
        <item x="820"/>
        <item x="49"/>
        <item x="455"/>
        <item x="154"/>
        <item x="806"/>
        <item x="55"/>
        <item x="165"/>
        <item x="911"/>
        <item x="695"/>
        <item x="560"/>
        <item x="801"/>
        <item x="670"/>
        <item x="652"/>
        <item x="342"/>
        <item x="655"/>
        <item x="769"/>
        <item x="422"/>
        <item x="9"/>
        <item x="644"/>
        <item x="807"/>
        <item x="776"/>
        <item x="927"/>
        <item x="913"/>
        <item x="739"/>
        <item x="605"/>
        <item x="766"/>
        <item x="515"/>
        <item x="84"/>
        <item x="62"/>
        <item x="16"/>
        <item x="396"/>
        <item x="663"/>
        <item x="178"/>
        <item x="346"/>
        <item x="862"/>
        <item x="336"/>
        <item x="829"/>
        <item x="538"/>
        <item x="132"/>
        <item x="882"/>
        <item x="358"/>
        <item x="413"/>
        <item x="857"/>
        <item x="306"/>
        <item x="524"/>
        <item x="509"/>
        <item x="507"/>
        <item x="544"/>
        <item x="349"/>
        <item x="203"/>
        <item x="176"/>
        <item x="378"/>
        <item x="501"/>
        <item x="565"/>
        <item x="603"/>
        <item x="492"/>
        <item x="864"/>
        <item x="726"/>
        <item x="101"/>
        <item x="130"/>
        <item x="476"/>
        <item x="254"/>
        <item x="77"/>
        <item x="324"/>
        <item x="486"/>
        <item x="772"/>
        <item x="796"/>
        <item x="850"/>
        <item x="597"/>
        <item x="136"/>
        <item x="321"/>
        <item x="366"/>
        <item x="4"/>
        <item x="843"/>
        <item x="750"/>
        <item x="740"/>
        <item x="367"/>
        <item x="892"/>
        <item x="497"/>
        <item x="545"/>
        <item x="193"/>
        <item x="96"/>
        <item x="932"/>
        <item x="218"/>
        <item x="14"/>
        <item x="656"/>
        <item x="313"/>
        <item x="207"/>
        <item x="214"/>
        <item x="893"/>
        <item x="493"/>
        <item x="348"/>
        <item x="43"/>
        <item x="634"/>
        <item x="126"/>
        <item x="525"/>
        <item x="529"/>
        <item x="839"/>
        <item x="444"/>
        <item x="575"/>
        <item x="464"/>
        <item x="590"/>
        <item x="247"/>
        <item x="205"/>
        <item x="679"/>
        <item x="469"/>
        <item x="478"/>
        <item x="677"/>
        <item x="641"/>
        <item x="206"/>
        <item x="449"/>
        <item x="823"/>
        <item x="537"/>
        <item x="678"/>
        <item x="17"/>
        <item x="615"/>
        <item x="617"/>
        <item x="393"/>
        <item x="183"/>
        <item x="182"/>
        <item x="267"/>
        <item x="169"/>
        <item x="774"/>
        <item x="457"/>
        <item x="803"/>
        <item x="586"/>
        <item x="263"/>
        <item x="361"/>
        <item x="401"/>
        <item x="68"/>
        <item x="752"/>
        <item x="376"/>
        <item x="431"/>
        <item x="417"/>
        <item x="777"/>
        <item x="654"/>
        <item x="885"/>
        <item x="427"/>
        <item x="463"/>
        <item x="922"/>
        <item x="676"/>
        <item x="65"/>
        <item x="682"/>
        <item x="696"/>
        <item x="257"/>
        <item x="861"/>
        <item x="302"/>
        <item x="470"/>
        <item x="612"/>
        <item x="373"/>
        <item x="599"/>
        <item x="115"/>
        <item x="642"/>
        <item x="229"/>
        <item x="404"/>
        <item x="291"/>
        <item x="791"/>
        <item x="121"/>
        <item x="521"/>
        <item x="384"/>
        <item x="814"/>
        <item x="472"/>
        <item x="289"/>
        <item x="505"/>
        <item x="762"/>
        <item x="195"/>
        <item x="790"/>
        <item x="2"/>
        <item x="222"/>
        <item x="458"/>
        <item x="428"/>
        <item x="189"/>
        <item x="724"/>
        <item x="166"/>
        <item x="381"/>
        <item x="736"/>
        <item x="488"/>
        <item x="144"/>
        <item x="876"/>
        <item x="34"/>
        <item x="272"/>
        <item x="22"/>
        <item x="362"/>
        <item x="723"/>
        <item x="383"/>
        <item x="314"/>
        <item x="432"/>
        <item x="433"/>
        <item x="328"/>
        <item x="402"/>
        <item x="479"/>
        <item x="44"/>
        <item x="277"/>
        <item x="745"/>
        <item x="111"/>
        <item x="243"/>
        <item x="73"/>
        <item x="688"/>
        <item x="42"/>
        <item x="890"/>
        <item x="177"/>
        <item x="626"/>
        <item x="265"/>
        <item x="368"/>
        <item x="270"/>
        <item x="870"/>
        <item x="389"/>
        <item x="440"/>
        <item x="709"/>
        <item x="338"/>
        <item x="489"/>
        <item x="886"/>
        <item x="188"/>
        <item x="274"/>
        <item x="334"/>
        <item x="787"/>
        <item x="608"/>
        <item x="873"/>
        <item x="252"/>
        <item x="340"/>
        <item x="148"/>
        <item x="835"/>
        <item x="800"/>
        <item x="633"/>
        <item x="312"/>
        <item x="450"/>
        <item x="698"/>
        <item x="815"/>
        <item x="559"/>
        <item x="910"/>
        <item x="86"/>
        <item x="915"/>
        <item x="175"/>
        <item x="335"/>
        <item x="727"/>
        <item x="28"/>
        <item x="122"/>
        <item x="613"/>
        <item x="600"/>
        <item x="127"/>
        <item x="629"/>
        <item x="643"/>
        <item x="75"/>
        <item x="722"/>
        <item x="934"/>
        <item x="41"/>
        <item x="447"/>
        <item x="496"/>
        <item x="129"/>
        <item x="421"/>
        <item x="596"/>
        <item x="248"/>
        <item x="535"/>
        <item x="453"/>
        <item x="416"/>
        <item x="56"/>
        <item x="637"/>
        <item x="211"/>
        <item x="767"/>
        <item x="674"/>
        <item x="232"/>
        <item x="251"/>
        <item x="443"/>
        <item x="329"/>
        <item x="619"/>
        <item x="764"/>
        <item x="27"/>
        <item x="409"/>
        <item x="352"/>
        <item x="152"/>
        <item x="749"/>
        <item x="233"/>
        <item x="192"/>
        <item x="108"/>
        <item x="311"/>
        <item x="746"/>
        <item x="370"/>
        <item x="278"/>
        <item x="137"/>
        <item x="59"/>
        <item x="627"/>
        <item x="711"/>
        <item x="279"/>
        <item x="563"/>
        <item x="693"/>
        <item x="237"/>
        <item x="35"/>
        <item x="296"/>
        <item x="579"/>
        <item x="400"/>
        <item x="40"/>
        <item x="38"/>
        <item x="452"/>
        <item x="707"/>
        <item x="72"/>
        <item x="851"/>
        <item x="474"/>
        <item x="904"/>
        <item x="837"/>
        <item x="88"/>
        <item x="859"/>
        <item x="320"/>
        <item x="179"/>
        <item x="359"/>
        <item x="131"/>
        <item x="592"/>
        <item x="919"/>
        <item x="295"/>
        <item x="92"/>
        <item x="100"/>
        <item x="119"/>
        <item x="513"/>
        <item x="238"/>
        <item x="589"/>
        <item x="810"/>
        <item x="618"/>
        <item x="143"/>
        <item x="377"/>
        <item x="713"/>
        <item x="621"/>
        <item x="574"/>
        <item x="104"/>
        <item x="236"/>
        <item x="82"/>
        <item x="487"/>
        <item x="407"/>
        <item x="157"/>
        <item x="930"/>
        <item x="194"/>
        <item x="825"/>
        <item x="541"/>
        <item x="625"/>
        <item x="874"/>
        <item x="531"/>
        <item x="819"/>
        <item x="543"/>
        <item x="354"/>
        <item x="931"/>
        <item x="468"/>
        <item x="282"/>
        <item x="140"/>
        <item x="356"/>
        <item x="81"/>
        <item x="448"/>
        <item x="281"/>
        <item x="539"/>
        <item x="828"/>
        <item x="117"/>
        <item x="363"/>
        <item x="783"/>
        <item x="388"/>
        <item x="540"/>
        <item x="219"/>
        <item x="742"/>
        <item x="665"/>
        <item x="551"/>
        <item x="517"/>
        <item x="317"/>
        <item x="162"/>
        <item x="64"/>
        <item x="868"/>
        <item x="58"/>
        <item x="79"/>
        <item x="901"/>
        <item x="80"/>
        <item x="781"/>
        <item x="845"/>
        <item x="765"/>
        <item x="423"/>
        <item x="553"/>
        <item x="824"/>
        <item x="244"/>
        <item x="526"/>
        <item x="877"/>
        <item x="687"/>
        <item x="490"/>
        <item x="748"/>
        <item x="883"/>
        <item x="339"/>
        <item x="11"/>
        <item x="795"/>
        <item x="187"/>
        <item x="593"/>
        <item x="285"/>
        <item x="570"/>
        <item x="120"/>
        <item x="716"/>
        <item x="811"/>
        <item x="571"/>
        <item x="294"/>
        <item x="284"/>
        <item x="578"/>
        <item x="392"/>
        <item x="276"/>
        <item x="683"/>
        <item x="536"/>
        <item x="821"/>
        <item x="480"/>
        <item x="567"/>
        <item x="139"/>
        <item x="249"/>
        <item x="74"/>
        <item x="147"/>
        <item x="168"/>
        <item x="454"/>
        <item x="429"/>
        <item x="442"/>
        <item x="595"/>
        <item x="107"/>
        <item x="446"/>
        <item x="847"/>
        <item x="710"/>
        <item x="771"/>
        <item x="510"/>
        <item x="702"/>
        <item x="914"/>
        <item x="466"/>
        <item x="753"/>
        <item x="735"/>
        <item x="387"/>
        <item x="226"/>
        <item x="744"/>
        <item x="48"/>
        <item x="659"/>
        <item x="498"/>
        <item x="355"/>
        <item x="582"/>
        <item x="142"/>
        <item x="568"/>
        <item x="30"/>
        <item x="879"/>
        <item x="792"/>
        <item x="636"/>
        <item x="899"/>
        <item x="20"/>
        <item x="106"/>
        <item x="881"/>
        <item x="266"/>
        <item x="813"/>
        <item x="426"/>
        <item x="467"/>
        <item x="516"/>
        <item x="391"/>
        <item x="717"/>
        <item x="299"/>
        <item x="161"/>
        <item x="47"/>
        <item x="731"/>
        <item x="715"/>
        <item x="303"/>
        <item x="300"/>
        <item x="880"/>
        <item x="601"/>
        <item x="181"/>
        <item x="221"/>
        <item x="664"/>
        <item x="680"/>
        <item x="849"/>
        <item x="204"/>
        <item x="491"/>
        <item x="273"/>
        <item x="379"/>
        <item x="925"/>
        <item x="875"/>
        <item x="70"/>
        <item x="866"/>
        <item x="113"/>
        <item x="522"/>
        <item x="798"/>
        <item x="838"/>
        <item x="485"/>
        <item x="228"/>
        <item x="156"/>
        <item x="572"/>
        <item x="76"/>
        <item x="832"/>
        <item x="345"/>
        <item x="562"/>
        <item x="720"/>
        <item x="125"/>
        <item x="591"/>
        <item x="573"/>
        <item x="667"/>
        <item x="623"/>
        <item x="906"/>
        <item x="171"/>
        <item x="78"/>
        <item x="7"/>
        <item x="128"/>
        <item x="353"/>
        <item x="351"/>
        <item x="365"/>
        <item x="318"/>
        <item x="245"/>
        <item x="923"/>
        <item x="588"/>
        <item x="6"/>
        <item x="936"/>
        <item x="481"/>
        <item x="61"/>
        <item x="45"/>
        <item x="262"/>
        <item x="542"/>
        <item x="462"/>
        <item x="213"/>
        <item x="836"/>
        <item x="160"/>
        <item x="408"/>
        <item x="37"/>
        <item x="685"/>
        <item x="532"/>
        <item x="556"/>
        <item x="719"/>
        <item x="158"/>
        <item x="371"/>
        <item x="920"/>
        <item x="834"/>
        <item x="528"/>
        <item x="141"/>
        <item x="190"/>
        <item x="635"/>
        <item x="135"/>
        <item x="797"/>
        <item x="483"/>
        <item x="271"/>
        <item x="770"/>
        <item x="669"/>
        <item x="584"/>
        <item x="253"/>
        <item x="425"/>
        <item x="888"/>
        <item x="436"/>
        <item x="261"/>
        <item x="926"/>
        <item x="269"/>
        <item x="184"/>
        <item x="268"/>
        <item x="651"/>
        <item x="390"/>
        <item x="546"/>
        <item x="705"/>
        <item x="307"/>
        <item x="737"/>
        <item x="779"/>
        <item x="46"/>
        <item x="699"/>
        <item x="112"/>
        <item x="921"/>
        <item x="831"/>
        <item x="630"/>
        <item x="484"/>
        <item x="611"/>
        <item x="51"/>
        <item x="118"/>
        <item x="701"/>
        <item x="405"/>
        <item x="895"/>
        <item x="19"/>
        <item x="755"/>
        <item x="385"/>
        <item x="681"/>
        <item x="894"/>
        <item x="768"/>
        <item x="788"/>
        <item x="290"/>
        <item x="99"/>
        <item x="504"/>
        <item x="395"/>
        <item x="865"/>
        <item x="8"/>
        <item x="514"/>
        <item x="503"/>
        <item x="686"/>
        <item x="758"/>
        <item x="308"/>
        <item x="90"/>
        <item x="805"/>
        <item x="649"/>
        <item x="826"/>
        <item x="217"/>
        <item x="692"/>
        <item x="756"/>
        <item x="374"/>
        <item x="647"/>
        <item x="451"/>
        <item x="103"/>
        <item x="594"/>
        <item x="624"/>
        <item x="32"/>
        <item x="853"/>
        <item x="757"/>
        <item x="598"/>
        <item x="185"/>
        <item x="785"/>
        <item x="326"/>
        <item x="547"/>
        <item x="511"/>
        <item x="632"/>
        <item x="499"/>
        <item x="242"/>
        <item x="666"/>
        <item x="671"/>
        <item x="410"/>
        <item x="482"/>
        <item x="689"/>
        <item x="616"/>
        <item x="337"/>
        <item x="231"/>
        <item x="234"/>
        <item x="50"/>
        <item x="33"/>
        <item x="435"/>
        <item x="225"/>
        <item x="327"/>
        <item x="494"/>
        <item x="855"/>
        <item x="29"/>
        <item x="782"/>
        <item x="817"/>
        <item x="240"/>
        <item x="661"/>
        <item x="465"/>
        <item x="191"/>
        <item x="87"/>
        <item x="721"/>
        <item x="15"/>
        <item x="198"/>
        <item x="639"/>
        <item x="375"/>
        <item x="884"/>
        <item x="585"/>
        <item x="673"/>
        <item x="714"/>
        <item x="260"/>
        <item x="93"/>
        <item x="747"/>
        <item x="684"/>
        <item x="309"/>
        <item x="459"/>
        <item x="0"/>
        <item x="316"/>
        <item x="412"/>
        <item x="170"/>
        <item x="475"/>
        <item x="918"/>
        <item x="830"/>
        <item x="310"/>
        <item x="871"/>
        <item x="202"/>
        <item x="928"/>
        <item x="180"/>
        <item x="940"/>
        <item x="872"/>
        <item x="743"/>
        <item x="456"/>
        <item x="155"/>
        <item x="662"/>
        <item x="730"/>
        <item x="25"/>
        <item x="741"/>
        <item x="604"/>
        <item x="933"/>
        <item x="789"/>
        <item x="518"/>
        <item x="554"/>
        <item x="83"/>
        <item x="319"/>
        <item x="939"/>
        <item x="816"/>
        <item x="712"/>
        <item x="369"/>
        <item x="94"/>
        <item x="846"/>
        <item x="780"/>
        <item x="69"/>
        <item x="622"/>
        <item x="558"/>
        <item x="230"/>
        <item x="71"/>
        <item x="793"/>
        <item x="645"/>
        <item x="658"/>
        <item x="708"/>
        <item x="286"/>
        <item x="799"/>
        <item x="902"/>
        <item x="364"/>
        <item x="763"/>
        <item x="216"/>
        <item x="437"/>
        <item x="833"/>
        <item x="420"/>
        <item x="909"/>
        <item x="223"/>
        <item x="557"/>
        <item t="default"/>
      </items>
    </pivotField>
    <pivotField showAll="0"/>
    <pivotField dataField="1" showAll="0">
      <items count="18">
        <item x="7"/>
        <item x="1"/>
        <item x="15"/>
        <item x="12"/>
        <item x="3"/>
        <item x="13"/>
        <item x="8"/>
        <item x="9"/>
        <item x="10"/>
        <item x="4"/>
        <item x="2"/>
        <item x="11"/>
        <item x="6"/>
        <item x="5"/>
        <item x="16"/>
        <item x="0"/>
        <item x="14"/>
        <item t="default"/>
      </items>
    </pivotField>
    <pivotField showAll="0"/>
    <pivotField showAll="0">
      <items count="4">
        <item x="2"/>
        <item x="0"/>
        <item x="1"/>
        <item t="default"/>
      </items>
    </pivotField>
    <pivotField showAll="0"/>
    <pivotField showAll="0"/>
    <pivotField showAll="0"/>
    <pivotField showAll="0"/>
    <pivotField showAll="0"/>
    <pivotField showAll="0"/>
    <pivotField axis="axisRow" showAll="0" measureFilter="1" sortType="descending">
      <items count="21">
        <item x="8"/>
        <item x="13"/>
        <item x="10"/>
        <item x="17"/>
        <item x="5"/>
        <item x="3"/>
        <item x="1"/>
        <item x="16"/>
        <item x="15"/>
        <item x="4"/>
        <item x="19"/>
        <item x="12"/>
        <item x="9"/>
        <item x="0"/>
        <item x="11"/>
        <item x="18"/>
        <item x="7"/>
        <item x="2"/>
        <item x="6"/>
        <item x="14"/>
        <item t="default"/>
      </items>
      <autoSortScope>
        <pivotArea dataOnly="0" outline="0" fieldPosition="0">
          <references count="1">
            <reference field="4294967294" count="1" selected="0">
              <x v="0"/>
            </reference>
          </references>
        </pivotArea>
      </autoSortScope>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5"/>
  </rowFields>
  <rowItems count="11">
    <i>
      <x v="9"/>
    </i>
    <i>
      <x v="16"/>
    </i>
    <i>
      <x v="13"/>
    </i>
    <i>
      <x v="14"/>
    </i>
    <i>
      <x v="3"/>
    </i>
    <i>
      <x v="2"/>
    </i>
    <i>
      <x v="12"/>
    </i>
    <i>
      <x v="10"/>
    </i>
    <i>
      <x v="11"/>
    </i>
    <i>
      <x/>
    </i>
    <i t="grand">
      <x/>
    </i>
  </rowItems>
  <colItems count="1">
    <i/>
  </colItems>
  <dataFields count="1">
    <dataField name="Sum of ticket_amount" fld="6" baseField="0" baseItem="0"/>
  </dataFields>
  <formats count="1">
    <format dxfId="397">
      <pivotArea collapsedLevelsAreSubtotals="1" fieldPosition="0">
        <references count="1">
          <reference field="15" count="1">
            <x v="9"/>
          </reference>
        </references>
      </pivotArea>
    </format>
  </formats>
  <pivotTableStyleInfo name="PivotStyleLight16" showRowHeaders="1" showColHeaders="1" showRowStripes="0" showColStripes="0" showLastColumn="1"/>
  <filters count="1">
    <filter fld="1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2E3F514-42F9-4C25-B266-6CCB52B25D85}" name="PivotTable17"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B26" firstHeaderRow="1" firstDataRow="1" firstDataCol="1"/>
  <pivotFields count="19">
    <pivotField showAll="0"/>
    <pivotField showAll="0"/>
    <pivotField showAll="0"/>
    <pivotField showAll="0"/>
    <pivotField numFmtId="164" showAll="0">
      <items count="943">
        <item x="775"/>
        <item x="784"/>
        <item x="60"/>
        <item x="889"/>
        <item x="341"/>
        <item x="908"/>
        <item x="54"/>
        <item x="159"/>
        <item x="461"/>
        <item x="259"/>
        <item x="802"/>
        <item x="394"/>
        <item x="344"/>
        <item x="438"/>
        <item x="924"/>
        <item x="718"/>
        <item x="609"/>
        <item x="332"/>
        <item x="827"/>
        <item x="434"/>
        <item x="500"/>
        <item x="173"/>
        <item x="577"/>
        <item x="380"/>
        <item x="898"/>
        <item x="26"/>
        <item x="418"/>
        <item x="794"/>
        <item x="896"/>
        <item x="403"/>
        <item x="200"/>
        <item x="646"/>
        <item x="587"/>
        <item x="67"/>
        <item x="929"/>
        <item x="657"/>
        <item x="186"/>
        <item x="534"/>
        <item x="869"/>
        <item x="146"/>
        <item x="31"/>
        <item x="778"/>
        <item x="856"/>
        <item x="445"/>
        <item x="258"/>
        <item x="607"/>
        <item x="256"/>
        <item x="255"/>
        <item x="502"/>
        <item x="36"/>
        <item x="512"/>
        <item x="441"/>
        <item x="580"/>
        <item x="844"/>
        <item x="937"/>
        <item x="751"/>
        <item x="415"/>
        <item x="700"/>
        <item x="863"/>
        <item x="773"/>
        <item x="150"/>
        <item x="116"/>
        <item x="297"/>
        <item x="533"/>
        <item x="897"/>
        <item x="638"/>
        <item x="398"/>
        <item x="52"/>
        <item x="761"/>
        <item x="530"/>
        <item x="602"/>
        <item x="134"/>
        <item x="840"/>
        <item x="1"/>
        <item x="903"/>
        <item x="95"/>
        <item x="550"/>
        <item x="304"/>
        <item x="564"/>
        <item x="97"/>
        <item x="891"/>
        <item x="164"/>
        <item x="13"/>
        <item x="109"/>
        <item x="640"/>
        <item x="878"/>
        <item x="581"/>
        <item x="343"/>
        <item x="728"/>
        <item x="786"/>
        <item x="900"/>
        <item x="114"/>
        <item x="357"/>
        <item x="935"/>
        <item x="53"/>
        <item x="63"/>
        <item x="275"/>
        <item x="386"/>
        <item x="858"/>
        <item x="209"/>
        <item x="3"/>
        <item x="887"/>
        <item x="39"/>
        <item x="330"/>
        <item x="460"/>
        <item x="331"/>
        <item x="24"/>
        <item x="912"/>
        <item x="208"/>
        <item x="854"/>
        <item x="288"/>
        <item x="648"/>
        <item x="12"/>
        <item x="89"/>
        <item x="201"/>
        <item x="523"/>
        <item x="555"/>
        <item x="508"/>
        <item x="325"/>
        <item x="174"/>
        <item x="298"/>
        <item x="610"/>
        <item x="938"/>
        <item x="852"/>
        <item x="569"/>
        <item x="738"/>
        <item x="197"/>
        <item x="283"/>
        <item x="561"/>
        <item x="138"/>
        <item x="149"/>
        <item x="725"/>
        <item x="812"/>
        <item x="105"/>
        <item x="860"/>
        <item x="424"/>
        <item x="315"/>
        <item x="382"/>
        <item x="916"/>
        <item x="333"/>
        <item x="527"/>
        <item x="196"/>
        <item x="287"/>
        <item x="808"/>
        <item x="301"/>
        <item x="576"/>
        <item x="729"/>
        <item x="145"/>
        <item x="694"/>
        <item x="215"/>
        <item x="620"/>
        <item x="85"/>
        <item x="239"/>
        <item x="703"/>
        <item x="506"/>
        <item x="123"/>
        <item x="907"/>
        <item x="842"/>
        <item x="199"/>
        <item x="406"/>
        <item x="227"/>
        <item x="548"/>
        <item x="841"/>
        <item x="98"/>
        <item x="759"/>
        <item x="246"/>
        <item x="167"/>
        <item x="57"/>
        <item x="732"/>
        <item x="220"/>
        <item x="21"/>
        <item x="172"/>
        <item x="804"/>
        <item x="419"/>
        <item x="848"/>
        <item x="91"/>
        <item x="650"/>
        <item x="734"/>
        <item x="566"/>
        <item x="102"/>
        <item x="414"/>
        <item x="430"/>
        <item x="372"/>
        <item x="10"/>
        <item x="917"/>
        <item x="583"/>
        <item x="691"/>
        <item x="754"/>
        <item x="867"/>
        <item x="110"/>
        <item x="631"/>
        <item x="153"/>
        <item x="151"/>
        <item x="241"/>
        <item x="323"/>
        <item x="23"/>
        <item x="163"/>
        <item x="733"/>
        <item x="818"/>
        <item x="293"/>
        <item x="552"/>
        <item x="495"/>
        <item x="706"/>
        <item x="397"/>
        <item x="477"/>
        <item x="519"/>
        <item x="704"/>
        <item x="697"/>
        <item x="322"/>
        <item x="809"/>
        <item x="690"/>
        <item x="124"/>
        <item x="668"/>
        <item x="672"/>
        <item x="305"/>
        <item x="5"/>
        <item x="360"/>
        <item x="350"/>
        <item x="473"/>
        <item x="549"/>
        <item x="399"/>
        <item x="614"/>
        <item x="347"/>
        <item x="66"/>
        <item x="280"/>
        <item x="212"/>
        <item x="606"/>
        <item x="760"/>
        <item x="133"/>
        <item x="411"/>
        <item x="660"/>
        <item x="210"/>
        <item x="471"/>
        <item x="264"/>
        <item x="18"/>
        <item x="905"/>
        <item x="224"/>
        <item x="235"/>
        <item x="250"/>
        <item x="520"/>
        <item x="675"/>
        <item x="628"/>
        <item x="292"/>
        <item x="439"/>
        <item x="653"/>
        <item x="941"/>
        <item x="822"/>
        <item x="820"/>
        <item x="49"/>
        <item x="455"/>
        <item x="154"/>
        <item x="806"/>
        <item x="55"/>
        <item x="165"/>
        <item x="911"/>
        <item x="695"/>
        <item x="560"/>
        <item x="801"/>
        <item x="670"/>
        <item x="652"/>
        <item x="342"/>
        <item x="655"/>
        <item x="769"/>
        <item x="422"/>
        <item x="9"/>
        <item x="644"/>
        <item x="807"/>
        <item x="776"/>
        <item x="927"/>
        <item x="913"/>
        <item x="739"/>
        <item x="605"/>
        <item x="766"/>
        <item x="515"/>
        <item x="84"/>
        <item x="62"/>
        <item x="16"/>
        <item x="396"/>
        <item x="663"/>
        <item x="178"/>
        <item x="346"/>
        <item x="862"/>
        <item x="336"/>
        <item x="829"/>
        <item x="538"/>
        <item x="132"/>
        <item x="882"/>
        <item x="358"/>
        <item x="413"/>
        <item x="857"/>
        <item x="306"/>
        <item x="524"/>
        <item x="509"/>
        <item x="507"/>
        <item x="544"/>
        <item x="349"/>
        <item x="203"/>
        <item x="176"/>
        <item x="378"/>
        <item x="501"/>
        <item x="565"/>
        <item x="603"/>
        <item x="492"/>
        <item x="864"/>
        <item x="726"/>
        <item x="101"/>
        <item x="130"/>
        <item x="476"/>
        <item x="254"/>
        <item x="77"/>
        <item x="324"/>
        <item x="486"/>
        <item x="772"/>
        <item x="796"/>
        <item x="850"/>
        <item x="597"/>
        <item x="136"/>
        <item x="321"/>
        <item x="366"/>
        <item x="4"/>
        <item x="843"/>
        <item x="750"/>
        <item x="740"/>
        <item x="367"/>
        <item x="892"/>
        <item x="497"/>
        <item x="545"/>
        <item x="193"/>
        <item x="96"/>
        <item x="932"/>
        <item x="218"/>
        <item x="14"/>
        <item x="656"/>
        <item x="313"/>
        <item x="207"/>
        <item x="214"/>
        <item x="893"/>
        <item x="493"/>
        <item x="348"/>
        <item x="43"/>
        <item x="634"/>
        <item x="126"/>
        <item x="525"/>
        <item x="529"/>
        <item x="839"/>
        <item x="444"/>
        <item x="575"/>
        <item x="464"/>
        <item x="590"/>
        <item x="247"/>
        <item x="205"/>
        <item x="679"/>
        <item x="469"/>
        <item x="478"/>
        <item x="677"/>
        <item x="641"/>
        <item x="206"/>
        <item x="449"/>
        <item x="823"/>
        <item x="537"/>
        <item x="678"/>
        <item x="17"/>
        <item x="615"/>
        <item x="617"/>
        <item x="393"/>
        <item x="183"/>
        <item x="182"/>
        <item x="267"/>
        <item x="169"/>
        <item x="774"/>
        <item x="457"/>
        <item x="803"/>
        <item x="586"/>
        <item x="263"/>
        <item x="361"/>
        <item x="401"/>
        <item x="68"/>
        <item x="752"/>
        <item x="376"/>
        <item x="431"/>
        <item x="417"/>
        <item x="777"/>
        <item x="654"/>
        <item x="885"/>
        <item x="427"/>
        <item x="463"/>
        <item x="922"/>
        <item x="676"/>
        <item x="65"/>
        <item x="682"/>
        <item x="696"/>
        <item x="257"/>
        <item x="861"/>
        <item x="302"/>
        <item x="470"/>
        <item x="612"/>
        <item x="373"/>
        <item x="599"/>
        <item x="115"/>
        <item x="642"/>
        <item x="229"/>
        <item x="404"/>
        <item x="291"/>
        <item x="791"/>
        <item x="121"/>
        <item x="521"/>
        <item x="384"/>
        <item x="814"/>
        <item x="472"/>
        <item x="289"/>
        <item x="505"/>
        <item x="762"/>
        <item x="195"/>
        <item x="790"/>
        <item x="2"/>
        <item x="222"/>
        <item x="458"/>
        <item x="428"/>
        <item x="189"/>
        <item x="724"/>
        <item x="166"/>
        <item x="381"/>
        <item x="736"/>
        <item x="488"/>
        <item x="144"/>
        <item x="876"/>
        <item x="34"/>
        <item x="272"/>
        <item x="22"/>
        <item x="362"/>
        <item x="723"/>
        <item x="383"/>
        <item x="314"/>
        <item x="432"/>
        <item x="433"/>
        <item x="328"/>
        <item x="402"/>
        <item x="479"/>
        <item x="44"/>
        <item x="277"/>
        <item x="745"/>
        <item x="111"/>
        <item x="243"/>
        <item x="73"/>
        <item x="688"/>
        <item x="42"/>
        <item x="890"/>
        <item x="177"/>
        <item x="626"/>
        <item x="265"/>
        <item x="368"/>
        <item x="270"/>
        <item x="870"/>
        <item x="389"/>
        <item x="440"/>
        <item x="709"/>
        <item x="338"/>
        <item x="489"/>
        <item x="886"/>
        <item x="188"/>
        <item x="274"/>
        <item x="334"/>
        <item x="787"/>
        <item x="608"/>
        <item x="873"/>
        <item x="252"/>
        <item x="340"/>
        <item x="148"/>
        <item x="835"/>
        <item x="800"/>
        <item x="633"/>
        <item x="312"/>
        <item x="450"/>
        <item x="698"/>
        <item x="815"/>
        <item x="559"/>
        <item x="910"/>
        <item x="86"/>
        <item x="915"/>
        <item x="175"/>
        <item x="335"/>
        <item x="727"/>
        <item x="28"/>
        <item x="122"/>
        <item x="613"/>
        <item x="600"/>
        <item x="127"/>
        <item x="629"/>
        <item x="643"/>
        <item x="75"/>
        <item x="722"/>
        <item x="934"/>
        <item x="41"/>
        <item x="447"/>
        <item x="496"/>
        <item x="129"/>
        <item x="421"/>
        <item x="596"/>
        <item x="248"/>
        <item x="535"/>
        <item x="453"/>
        <item x="416"/>
        <item x="56"/>
        <item x="637"/>
        <item x="211"/>
        <item x="767"/>
        <item x="674"/>
        <item x="232"/>
        <item x="251"/>
        <item x="443"/>
        <item x="329"/>
        <item x="619"/>
        <item x="764"/>
        <item x="27"/>
        <item x="409"/>
        <item x="352"/>
        <item x="152"/>
        <item x="749"/>
        <item x="233"/>
        <item x="192"/>
        <item x="108"/>
        <item x="311"/>
        <item x="746"/>
        <item x="370"/>
        <item x="278"/>
        <item x="137"/>
        <item x="59"/>
        <item x="627"/>
        <item x="711"/>
        <item x="279"/>
        <item x="563"/>
        <item x="693"/>
        <item x="237"/>
        <item x="35"/>
        <item x="296"/>
        <item x="579"/>
        <item x="400"/>
        <item x="40"/>
        <item x="38"/>
        <item x="452"/>
        <item x="707"/>
        <item x="72"/>
        <item x="851"/>
        <item x="474"/>
        <item x="904"/>
        <item x="837"/>
        <item x="88"/>
        <item x="859"/>
        <item x="320"/>
        <item x="179"/>
        <item x="359"/>
        <item x="131"/>
        <item x="592"/>
        <item x="919"/>
        <item x="295"/>
        <item x="92"/>
        <item x="100"/>
        <item x="119"/>
        <item x="513"/>
        <item x="238"/>
        <item x="589"/>
        <item x="810"/>
        <item x="618"/>
        <item x="143"/>
        <item x="377"/>
        <item x="713"/>
        <item x="621"/>
        <item x="574"/>
        <item x="104"/>
        <item x="236"/>
        <item x="82"/>
        <item x="487"/>
        <item x="407"/>
        <item x="157"/>
        <item x="930"/>
        <item x="194"/>
        <item x="825"/>
        <item x="541"/>
        <item x="625"/>
        <item x="874"/>
        <item x="531"/>
        <item x="819"/>
        <item x="543"/>
        <item x="354"/>
        <item x="931"/>
        <item x="468"/>
        <item x="282"/>
        <item x="140"/>
        <item x="356"/>
        <item x="81"/>
        <item x="448"/>
        <item x="281"/>
        <item x="539"/>
        <item x="828"/>
        <item x="117"/>
        <item x="363"/>
        <item x="783"/>
        <item x="388"/>
        <item x="540"/>
        <item x="219"/>
        <item x="742"/>
        <item x="665"/>
        <item x="551"/>
        <item x="517"/>
        <item x="317"/>
        <item x="162"/>
        <item x="64"/>
        <item x="868"/>
        <item x="58"/>
        <item x="79"/>
        <item x="901"/>
        <item x="80"/>
        <item x="781"/>
        <item x="845"/>
        <item x="765"/>
        <item x="423"/>
        <item x="553"/>
        <item x="824"/>
        <item x="244"/>
        <item x="526"/>
        <item x="877"/>
        <item x="687"/>
        <item x="490"/>
        <item x="748"/>
        <item x="883"/>
        <item x="339"/>
        <item x="11"/>
        <item x="795"/>
        <item x="187"/>
        <item x="593"/>
        <item x="285"/>
        <item x="570"/>
        <item x="120"/>
        <item x="716"/>
        <item x="811"/>
        <item x="571"/>
        <item x="294"/>
        <item x="284"/>
        <item x="578"/>
        <item x="392"/>
        <item x="276"/>
        <item x="683"/>
        <item x="536"/>
        <item x="821"/>
        <item x="480"/>
        <item x="567"/>
        <item x="139"/>
        <item x="249"/>
        <item x="74"/>
        <item x="147"/>
        <item x="168"/>
        <item x="454"/>
        <item x="429"/>
        <item x="442"/>
        <item x="595"/>
        <item x="107"/>
        <item x="446"/>
        <item x="847"/>
        <item x="710"/>
        <item x="771"/>
        <item x="510"/>
        <item x="702"/>
        <item x="914"/>
        <item x="466"/>
        <item x="753"/>
        <item x="735"/>
        <item x="387"/>
        <item x="226"/>
        <item x="744"/>
        <item x="48"/>
        <item x="659"/>
        <item x="498"/>
        <item x="355"/>
        <item x="582"/>
        <item x="142"/>
        <item x="568"/>
        <item x="30"/>
        <item x="879"/>
        <item x="792"/>
        <item x="636"/>
        <item x="899"/>
        <item x="20"/>
        <item x="106"/>
        <item x="881"/>
        <item x="266"/>
        <item x="813"/>
        <item x="426"/>
        <item x="467"/>
        <item x="516"/>
        <item x="391"/>
        <item x="717"/>
        <item x="299"/>
        <item x="161"/>
        <item x="47"/>
        <item x="731"/>
        <item x="715"/>
        <item x="303"/>
        <item x="300"/>
        <item x="880"/>
        <item x="601"/>
        <item x="181"/>
        <item x="221"/>
        <item x="664"/>
        <item x="680"/>
        <item x="849"/>
        <item x="204"/>
        <item x="491"/>
        <item x="273"/>
        <item x="379"/>
        <item x="925"/>
        <item x="875"/>
        <item x="70"/>
        <item x="866"/>
        <item x="113"/>
        <item x="522"/>
        <item x="798"/>
        <item x="838"/>
        <item x="485"/>
        <item x="228"/>
        <item x="156"/>
        <item x="572"/>
        <item x="76"/>
        <item x="832"/>
        <item x="345"/>
        <item x="562"/>
        <item x="720"/>
        <item x="125"/>
        <item x="591"/>
        <item x="573"/>
        <item x="667"/>
        <item x="623"/>
        <item x="906"/>
        <item x="171"/>
        <item x="78"/>
        <item x="7"/>
        <item x="128"/>
        <item x="353"/>
        <item x="351"/>
        <item x="365"/>
        <item x="318"/>
        <item x="245"/>
        <item x="923"/>
        <item x="588"/>
        <item x="6"/>
        <item x="936"/>
        <item x="481"/>
        <item x="61"/>
        <item x="45"/>
        <item x="262"/>
        <item x="542"/>
        <item x="462"/>
        <item x="213"/>
        <item x="836"/>
        <item x="160"/>
        <item x="408"/>
        <item x="37"/>
        <item x="685"/>
        <item x="532"/>
        <item x="556"/>
        <item x="719"/>
        <item x="158"/>
        <item x="371"/>
        <item x="920"/>
        <item x="834"/>
        <item x="528"/>
        <item x="141"/>
        <item x="190"/>
        <item x="635"/>
        <item x="135"/>
        <item x="797"/>
        <item x="483"/>
        <item x="271"/>
        <item x="770"/>
        <item x="669"/>
        <item x="584"/>
        <item x="253"/>
        <item x="425"/>
        <item x="888"/>
        <item x="436"/>
        <item x="261"/>
        <item x="926"/>
        <item x="269"/>
        <item x="184"/>
        <item x="268"/>
        <item x="651"/>
        <item x="390"/>
        <item x="546"/>
        <item x="705"/>
        <item x="307"/>
        <item x="737"/>
        <item x="779"/>
        <item x="46"/>
        <item x="699"/>
        <item x="112"/>
        <item x="921"/>
        <item x="831"/>
        <item x="630"/>
        <item x="484"/>
        <item x="611"/>
        <item x="51"/>
        <item x="118"/>
        <item x="701"/>
        <item x="405"/>
        <item x="895"/>
        <item x="19"/>
        <item x="755"/>
        <item x="385"/>
        <item x="681"/>
        <item x="894"/>
        <item x="768"/>
        <item x="788"/>
        <item x="290"/>
        <item x="99"/>
        <item x="504"/>
        <item x="395"/>
        <item x="865"/>
        <item x="8"/>
        <item x="514"/>
        <item x="503"/>
        <item x="686"/>
        <item x="758"/>
        <item x="308"/>
        <item x="90"/>
        <item x="805"/>
        <item x="649"/>
        <item x="826"/>
        <item x="217"/>
        <item x="692"/>
        <item x="756"/>
        <item x="374"/>
        <item x="647"/>
        <item x="451"/>
        <item x="103"/>
        <item x="594"/>
        <item x="624"/>
        <item x="32"/>
        <item x="853"/>
        <item x="757"/>
        <item x="598"/>
        <item x="185"/>
        <item x="785"/>
        <item x="326"/>
        <item x="547"/>
        <item x="511"/>
        <item x="632"/>
        <item x="499"/>
        <item x="242"/>
        <item x="666"/>
        <item x="671"/>
        <item x="410"/>
        <item x="482"/>
        <item x="689"/>
        <item x="616"/>
        <item x="337"/>
        <item x="231"/>
        <item x="234"/>
        <item x="50"/>
        <item x="33"/>
        <item x="435"/>
        <item x="225"/>
        <item x="327"/>
        <item x="494"/>
        <item x="855"/>
        <item x="29"/>
        <item x="782"/>
        <item x="817"/>
        <item x="240"/>
        <item x="661"/>
        <item x="465"/>
        <item x="191"/>
        <item x="87"/>
        <item x="721"/>
        <item x="15"/>
        <item x="198"/>
        <item x="639"/>
        <item x="375"/>
        <item x="884"/>
        <item x="585"/>
        <item x="673"/>
        <item x="714"/>
        <item x="260"/>
        <item x="93"/>
        <item x="747"/>
        <item x="684"/>
        <item x="309"/>
        <item x="459"/>
        <item x="0"/>
        <item x="316"/>
        <item x="412"/>
        <item x="170"/>
        <item x="475"/>
        <item x="918"/>
        <item x="830"/>
        <item x="310"/>
        <item x="871"/>
        <item x="202"/>
        <item x="928"/>
        <item x="180"/>
        <item x="940"/>
        <item x="872"/>
        <item x="743"/>
        <item x="456"/>
        <item x="155"/>
        <item x="662"/>
        <item x="730"/>
        <item x="25"/>
        <item x="741"/>
        <item x="604"/>
        <item x="933"/>
        <item x="789"/>
        <item x="518"/>
        <item x="554"/>
        <item x="83"/>
        <item x="319"/>
        <item x="939"/>
        <item x="816"/>
        <item x="712"/>
        <item x="369"/>
        <item x="94"/>
        <item x="846"/>
        <item x="780"/>
        <item x="69"/>
        <item x="622"/>
        <item x="558"/>
        <item x="230"/>
        <item x="71"/>
        <item x="793"/>
        <item x="645"/>
        <item x="658"/>
        <item x="708"/>
        <item x="286"/>
        <item x="799"/>
        <item x="902"/>
        <item x="364"/>
        <item x="763"/>
        <item x="216"/>
        <item x="437"/>
        <item x="833"/>
        <item x="420"/>
        <item x="909"/>
        <item x="223"/>
        <item x="557"/>
        <item t="default"/>
      </items>
    </pivotField>
    <pivotField showAll="0"/>
    <pivotField dataField="1" showAll="0">
      <items count="18">
        <item x="7"/>
        <item x="1"/>
        <item x="15"/>
        <item x="12"/>
        <item x="3"/>
        <item x="13"/>
        <item x="8"/>
        <item x="9"/>
        <item x="10"/>
        <item x="4"/>
        <item x="2"/>
        <item x="11"/>
        <item x="6"/>
        <item x="5"/>
        <item x="16"/>
        <item x="0"/>
        <item x="14"/>
        <item t="default"/>
      </items>
    </pivotField>
    <pivotField showAll="0">
      <items count="3">
        <item x="0"/>
        <item x="1"/>
        <item t="default"/>
      </items>
    </pivotField>
    <pivotField showAll="0">
      <items count="4">
        <item x="2"/>
        <item x="0"/>
        <item x="1"/>
        <item t="default"/>
      </items>
    </pivotField>
    <pivotField showAll="0"/>
    <pivotField showAll="0"/>
    <pivotField showAll="0">
      <items count="13">
        <item x="1"/>
        <item x="3"/>
        <item x="5"/>
        <item x="4"/>
        <item x="9"/>
        <item x="2"/>
        <item x="11"/>
        <item x="8"/>
        <item x="10"/>
        <item x="6"/>
        <item x="7"/>
        <item x="0"/>
        <item t="default"/>
      </items>
    </pivotField>
    <pivotField showAll="0"/>
    <pivotField showAll="0"/>
    <pivotField showAll="0"/>
    <pivotField axis="axisRow" showAll="0" sortType="descending">
      <items count="21">
        <item x="14"/>
        <item x="6"/>
        <item x="2"/>
        <item x="7"/>
        <item x="18"/>
        <item x="11"/>
        <item x="0"/>
        <item x="9"/>
        <item x="12"/>
        <item x="19"/>
        <item x="4"/>
        <item x="15"/>
        <item x="16"/>
        <item x="1"/>
        <item x="3"/>
        <item x="5"/>
        <item x="17"/>
        <item x="10"/>
        <item x="13"/>
        <item x="8"/>
        <item t="default"/>
      </items>
      <autoSortScope>
        <pivotArea dataOnly="0" outline="0" fieldPosition="0">
          <references count="1">
            <reference field="4294967294" count="1" selected="0">
              <x v="0"/>
            </reference>
          </references>
        </pivotArea>
      </autoSortScope>
    </pivotField>
    <pivotField showAll="0">
      <items count="11">
        <item x="3"/>
        <item x="9"/>
        <item x="1"/>
        <item x="0"/>
        <item x="8"/>
        <item x="7"/>
        <item x="5"/>
        <item x="6"/>
        <item x="2"/>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21">
    <i>
      <x v="5"/>
    </i>
    <i>
      <x v="10"/>
    </i>
    <i>
      <x v="11"/>
    </i>
    <i>
      <x v="16"/>
    </i>
    <i>
      <x v="12"/>
    </i>
    <i>
      <x v="4"/>
    </i>
    <i>
      <x v="7"/>
    </i>
    <i>
      <x v="1"/>
    </i>
    <i>
      <x v="6"/>
    </i>
    <i>
      <x v="14"/>
    </i>
    <i>
      <x v="9"/>
    </i>
    <i>
      <x v="3"/>
    </i>
    <i>
      <x/>
    </i>
    <i>
      <x v="2"/>
    </i>
    <i>
      <x v="18"/>
    </i>
    <i>
      <x v="19"/>
    </i>
    <i>
      <x v="17"/>
    </i>
    <i>
      <x v="8"/>
    </i>
    <i>
      <x v="15"/>
    </i>
    <i>
      <x v="13"/>
    </i>
    <i t="grand">
      <x/>
    </i>
  </rowItems>
  <colItems count="1">
    <i/>
  </colItems>
  <dataFields count="1">
    <dataField name="Average of ticket_amount" fld="6" subtotal="average" baseField="15" baseItem="0"/>
  </dataFields>
  <formats count="1">
    <format dxfId="394">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43F052A-0DC8-4C0A-8D6A-72A32D7C0D1A}" name="PivotTable9"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9">
    <pivotField showAll="0"/>
    <pivotField showAll="0"/>
    <pivotField showAll="0"/>
    <pivotField showAll="0"/>
    <pivotField numFmtId="164" showAll="0">
      <items count="943">
        <item x="775"/>
        <item x="784"/>
        <item x="60"/>
        <item x="889"/>
        <item x="341"/>
        <item x="908"/>
        <item x="54"/>
        <item x="159"/>
        <item x="461"/>
        <item x="259"/>
        <item x="802"/>
        <item x="394"/>
        <item x="344"/>
        <item x="438"/>
        <item x="924"/>
        <item x="718"/>
        <item x="609"/>
        <item x="332"/>
        <item x="827"/>
        <item x="434"/>
        <item x="500"/>
        <item x="173"/>
        <item x="577"/>
        <item x="380"/>
        <item x="898"/>
        <item x="26"/>
        <item x="418"/>
        <item x="794"/>
        <item x="896"/>
        <item x="403"/>
        <item x="200"/>
        <item x="646"/>
        <item x="587"/>
        <item x="67"/>
        <item x="929"/>
        <item x="657"/>
        <item x="186"/>
        <item x="534"/>
        <item x="869"/>
        <item x="146"/>
        <item x="31"/>
        <item x="778"/>
        <item x="856"/>
        <item x="445"/>
        <item x="258"/>
        <item x="607"/>
        <item x="256"/>
        <item x="255"/>
        <item x="502"/>
        <item x="36"/>
        <item x="512"/>
        <item x="441"/>
        <item x="580"/>
        <item x="844"/>
        <item x="937"/>
        <item x="751"/>
        <item x="415"/>
        <item x="700"/>
        <item x="863"/>
        <item x="773"/>
        <item x="150"/>
        <item x="116"/>
        <item x="297"/>
        <item x="533"/>
        <item x="897"/>
        <item x="638"/>
        <item x="398"/>
        <item x="52"/>
        <item x="761"/>
        <item x="530"/>
        <item x="602"/>
        <item x="134"/>
        <item x="840"/>
        <item x="1"/>
        <item x="903"/>
        <item x="95"/>
        <item x="550"/>
        <item x="304"/>
        <item x="564"/>
        <item x="97"/>
        <item x="891"/>
        <item x="164"/>
        <item x="13"/>
        <item x="109"/>
        <item x="640"/>
        <item x="878"/>
        <item x="581"/>
        <item x="343"/>
        <item x="728"/>
        <item x="786"/>
        <item x="900"/>
        <item x="114"/>
        <item x="357"/>
        <item x="935"/>
        <item x="53"/>
        <item x="63"/>
        <item x="275"/>
        <item x="386"/>
        <item x="858"/>
        <item x="209"/>
        <item x="3"/>
        <item x="887"/>
        <item x="39"/>
        <item x="330"/>
        <item x="460"/>
        <item x="331"/>
        <item x="24"/>
        <item x="912"/>
        <item x="208"/>
        <item x="854"/>
        <item x="288"/>
        <item x="648"/>
        <item x="12"/>
        <item x="89"/>
        <item x="201"/>
        <item x="523"/>
        <item x="555"/>
        <item x="508"/>
        <item x="325"/>
        <item x="174"/>
        <item x="298"/>
        <item x="610"/>
        <item x="938"/>
        <item x="852"/>
        <item x="569"/>
        <item x="738"/>
        <item x="197"/>
        <item x="283"/>
        <item x="561"/>
        <item x="138"/>
        <item x="149"/>
        <item x="725"/>
        <item x="812"/>
        <item x="105"/>
        <item x="860"/>
        <item x="424"/>
        <item x="315"/>
        <item x="382"/>
        <item x="916"/>
        <item x="333"/>
        <item x="527"/>
        <item x="196"/>
        <item x="287"/>
        <item x="808"/>
        <item x="301"/>
        <item x="576"/>
        <item x="729"/>
        <item x="145"/>
        <item x="694"/>
        <item x="215"/>
        <item x="620"/>
        <item x="85"/>
        <item x="239"/>
        <item x="703"/>
        <item x="506"/>
        <item x="123"/>
        <item x="907"/>
        <item x="842"/>
        <item x="199"/>
        <item x="406"/>
        <item x="227"/>
        <item x="548"/>
        <item x="841"/>
        <item x="98"/>
        <item x="759"/>
        <item x="246"/>
        <item x="167"/>
        <item x="57"/>
        <item x="732"/>
        <item x="220"/>
        <item x="21"/>
        <item x="172"/>
        <item x="804"/>
        <item x="419"/>
        <item x="848"/>
        <item x="91"/>
        <item x="650"/>
        <item x="734"/>
        <item x="566"/>
        <item x="102"/>
        <item x="414"/>
        <item x="430"/>
        <item x="372"/>
        <item x="10"/>
        <item x="917"/>
        <item x="583"/>
        <item x="691"/>
        <item x="754"/>
        <item x="867"/>
        <item x="110"/>
        <item x="631"/>
        <item x="153"/>
        <item x="151"/>
        <item x="241"/>
        <item x="323"/>
        <item x="23"/>
        <item x="163"/>
        <item x="733"/>
        <item x="818"/>
        <item x="293"/>
        <item x="552"/>
        <item x="495"/>
        <item x="706"/>
        <item x="397"/>
        <item x="477"/>
        <item x="519"/>
        <item x="704"/>
        <item x="697"/>
        <item x="322"/>
        <item x="809"/>
        <item x="690"/>
        <item x="124"/>
        <item x="668"/>
        <item x="672"/>
        <item x="305"/>
        <item x="5"/>
        <item x="360"/>
        <item x="350"/>
        <item x="473"/>
        <item x="549"/>
        <item x="399"/>
        <item x="614"/>
        <item x="347"/>
        <item x="66"/>
        <item x="280"/>
        <item x="212"/>
        <item x="606"/>
        <item x="760"/>
        <item x="133"/>
        <item x="411"/>
        <item x="660"/>
        <item x="210"/>
        <item x="471"/>
        <item x="264"/>
        <item x="18"/>
        <item x="905"/>
        <item x="224"/>
        <item x="235"/>
        <item x="250"/>
        <item x="520"/>
        <item x="675"/>
        <item x="628"/>
        <item x="292"/>
        <item x="439"/>
        <item x="653"/>
        <item x="941"/>
        <item x="822"/>
        <item x="820"/>
        <item x="49"/>
        <item x="455"/>
        <item x="154"/>
        <item x="806"/>
        <item x="55"/>
        <item x="165"/>
        <item x="911"/>
        <item x="695"/>
        <item x="560"/>
        <item x="801"/>
        <item x="670"/>
        <item x="652"/>
        <item x="342"/>
        <item x="655"/>
        <item x="769"/>
        <item x="422"/>
        <item x="9"/>
        <item x="644"/>
        <item x="807"/>
        <item x="776"/>
        <item x="927"/>
        <item x="913"/>
        <item x="739"/>
        <item x="605"/>
        <item x="766"/>
        <item x="515"/>
        <item x="84"/>
        <item x="62"/>
        <item x="16"/>
        <item x="396"/>
        <item x="663"/>
        <item x="178"/>
        <item x="346"/>
        <item x="862"/>
        <item x="336"/>
        <item x="829"/>
        <item x="538"/>
        <item x="132"/>
        <item x="882"/>
        <item x="358"/>
        <item x="413"/>
        <item x="857"/>
        <item x="306"/>
        <item x="524"/>
        <item x="509"/>
        <item x="507"/>
        <item x="544"/>
        <item x="349"/>
        <item x="203"/>
        <item x="176"/>
        <item x="378"/>
        <item x="501"/>
        <item x="565"/>
        <item x="603"/>
        <item x="492"/>
        <item x="864"/>
        <item x="726"/>
        <item x="101"/>
        <item x="130"/>
        <item x="476"/>
        <item x="254"/>
        <item x="77"/>
        <item x="324"/>
        <item x="486"/>
        <item x="772"/>
        <item x="796"/>
        <item x="850"/>
        <item x="597"/>
        <item x="136"/>
        <item x="321"/>
        <item x="366"/>
        <item x="4"/>
        <item x="843"/>
        <item x="750"/>
        <item x="740"/>
        <item x="367"/>
        <item x="892"/>
        <item x="497"/>
        <item x="545"/>
        <item x="193"/>
        <item x="96"/>
        <item x="932"/>
        <item x="218"/>
        <item x="14"/>
        <item x="656"/>
        <item x="313"/>
        <item x="207"/>
        <item x="214"/>
        <item x="893"/>
        <item x="493"/>
        <item x="348"/>
        <item x="43"/>
        <item x="634"/>
        <item x="126"/>
        <item x="525"/>
        <item x="529"/>
        <item x="839"/>
        <item x="444"/>
        <item x="575"/>
        <item x="464"/>
        <item x="590"/>
        <item x="247"/>
        <item x="205"/>
        <item x="679"/>
        <item x="469"/>
        <item x="478"/>
        <item x="677"/>
        <item x="641"/>
        <item x="206"/>
        <item x="449"/>
        <item x="823"/>
        <item x="537"/>
        <item x="678"/>
        <item x="17"/>
        <item x="615"/>
        <item x="617"/>
        <item x="393"/>
        <item x="183"/>
        <item x="182"/>
        <item x="267"/>
        <item x="169"/>
        <item x="774"/>
        <item x="457"/>
        <item x="803"/>
        <item x="586"/>
        <item x="263"/>
        <item x="361"/>
        <item x="401"/>
        <item x="68"/>
        <item x="752"/>
        <item x="376"/>
        <item x="431"/>
        <item x="417"/>
        <item x="777"/>
        <item x="654"/>
        <item x="885"/>
        <item x="427"/>
        <item x="463"/>
        <item x="922"/>
        <item x="676"/>
        <item x="65"/>
        <item x="682"/>
        <item x="696"/>
        <item x="257"/>
        <item x="861"/>
        <item x="302"/>
        <item x="470"/>
        <item x="612"/>
        <item x="373"/>
        <item x="599"/>
        <item x="115"/>
        <item x="642"/>
        <item x="229"/>
        <item x="404"/>
        <item x="291"/>
        <item x="791"/>
        <item x="121"/>
        <item x="521"/>
        <item x="384"/>
        <item x="814"/>
        <item x="472"/>
        <item x="289"/>
        <item x="505"/>
        <item x="762"/>
        <item x="195"/>
        <item x="790"/>
        <item x="2"/>
        <item x="222"/>
        <item x="458"/>
        <item x="428"/>
        <item x="189"/>
        <item x="724"/>
        <item x="166"/>
        <item x="381"/>
        <item x="736"/>
        <item x="488"/>
        <item x="144"/>
        <item x="876"/>
        <item x="34"/>
        <item x="272"/>
        <item x="22"/>
        <item x="362"/>
        <item x="723"/>
        <item x="383"/>
        <item x="314"/>
        <item x="432"/>
        <item x="433"/>
        <item x="328"/>
        <item x="402"/>
        <item x="479"/>
        <item x="44"/>
        <item x="277"/>
        <item x="745"/>
        <item x="111"/>
        <item x="243"/>
        <item x="73"/>
        <item x="688"/>
        <item x="42"/>
        <item x="890"/>
        <item x="177"/>
        <item x="626"/>
        <item x="265"/>
        <item x="368"/>
        <item x="270"/>
        <item x="870"/>
        <item x="389"/>
        <item x="440"/>
        <item x="709"/>
        <item x="338"/>
        <item x="489"/>
        <item x="886"/>
        <item x="188"/>
        <item x="274"/>
        <item x="334"/>
        <item x="787"/>
        <item x="608"/>
        <item x="873"/>
        <item x="252"/>
        <item x="340"/>
        <item x="148"/>
        <item x="835"/>
        <item x="800"/>
        <item x="633"/>
        <item x="312"/>
        <item x="450"/>
        <item x="698"/>
        <item x="815"/>
        <item x="559"/>
        <item x="910"/>
        <item x="86"/>
        <item x="915"/>
        <item x="175"/>
        <item x="335"/>
        <item x="727"/>
        <item x="28"/>
        <item x="122"/>
        <item x="613"/>
        <item x="600"/>
        <item x="127"/>
        <item x="629"/>
        <item x="643"/>
        <item x="75"/>
        <item x="722"/>
        <item x="934"/>
        <item x="41"/>
        <item x="447"/>
        <item x="496"/>
        <item x="129"/>
        <item x="421"/>
        <item x="596"/>
        <item x="248"/>
        <item x="535"/>
        <item x="453"/>
        <item x="416"/>
        <item x="56"/>
        <item x="637"/>
        <item x="211"/>
        <item x="767"/>
        <item x="674"/>
        <item x="232"/>
        <item x="251"/>
        <item x="443"/>
        <item x="329"/>
        <item x="619"/>
        <item x="764"/>
        <item x="27"/>
        <item x="409"/>
        <item x="352"/>
        <item x="152"/>
        <item x="749"/>
        <item x="233"/>
        <item x="192"/>
        <item x="108"/>
        <item x="311"/>
        <item x="746"/>
        <item x="370"/>
        <item x="278"/>
        <item x="137"/>
        <item x="59"/>
        <item x="627"/>
        <item x="711"/>
        <item x="279"/>
        <item x="563"/>
        <item x="693"/>
        <item x="237"/>
        <item x="35"/>
        <item x="296"/>
        <item x="579"/>
        <item x="400"/>
        <item x="40"/>
        <item x="38"/>
        <item x="452"/>
        <item x="707"/>
        <item x="72"/>
        <item x="851"/>
        <item x="474"/>
        <item x="904"/>
        <item x="837"/>
        <item x="88"/>
        <item x="859"/>
        <item x="320"/>
        <item x="179"/>
        <item x="359"/>
        <item x="131"/>
        <item x="592"/>
        <item x="919"/>
        <item x="295"/>
        <item x="92"/>
        <item x="100"/>
        <item x="119"/>
        <item x="513"/>
        <item x="238"/>
        <item x="589"/>
        <item x="810"/>
        <item x="618"/>
        <item x="143"/>
        <item x="377"/>
        <item x="713"/>
        <item x="621"/>
        <item x="574"/>
        <item x="104"/>
        <item x="236"/>
        <item x="82"/>
        <item x="487"/>
        <item x="407"/>
        <item x="157"/>
        <item x="930"/>
        <item x="194"/>
        <item x="825"/>
        <item x="541"/>
        <item x="625"/>
        <item x="874"/>
        <item x="531"/>
        <item x="819"/>
        <item x="543"/>
        <item x="354"/>
        <item x="931"/>
        <item x="468"/>
        <item x="282"/>
        <item x="140"/>
        <item x="356"/>
        <item x="81"/>
        <item x="448"/>
        <item x="281"/>
        <item x="539"/>
        <item x="828"/>
        <item x="117"/>
        <item x="363"/>
        <item x="783"/>
        <item x="388"/>
        <item x="540"/>
        <item x="219"/>
        <item x="742"/>
        <item x="665"/>
        <item x="551"/>
        <item x="517"/>
        <item x="317"/>
        <item x="162"/>
        <item x="64"/>
        <item x="868"/>
        <item x="58"/>
        <item x="79"/>
        <item x="901"/>
        <item x="80"/>
        <item x="781"/>
        <item x="845"/>
        <item x="765"/>
        <item x="423"/>
        <item x="553"/>
        <item x="824"/>
        <item x="244"/>
        <item x="526"/>
        <item x="877"/>
        <item x="687"/>
        <item x="490"/>
        <item x="748"/>
        <item x="883"/>
        <item x="339"/>
        <item x="11"/>
        <item x="795"/>
        <item x="187"/>
        <item x="593"/>
        <item x="285"/>
        <item x="570"/>
        <item x="120"/>
        <item x="716"/>
        <item x="811"/>
        <item x="571"/>
        <item x="294"/>
        <item x="284"/>
        <item x="578"/>
        <item x="392"/>
        <item x="276"/>
        <item x="683"/>
        <item x="536"/>
        <item x="821"/>
        <item x="480"/>
        <item x="567"/>
        <item x="139"/>
        <item x="249"/>
        <item x="74"/>
        <item x="147"/>
        <item x="168"/>
        <item x="454"/>
        <item x="429"/>
        <item x="442"/>
        <item x="595"/>
        <item x="107"/>
        <item x="446"/>
        <item x="847"/>
        <item x="710"/>
        <item x="771"/>
        <item x="510"/>
        <item x="702"/>
        <item x="914"/>
        <item x="466"/>
        <item x="753"/>
        <item x="735"/>
        <item x="387"/>
        <item x="226"/>
        <item x="744"/>
        <item x="48"/>
        <item x="659"/>
        <item x="498"/>
        <item x="355"/>
        <item x="582"/>
        <item x="142"/>
        <item x="568"/>
        <item x="30"/>
        <item x="879"/>
        <item x="792"/>
        <item x="636"/>
        <item x="899"/>
        <item x="20"/>
        <item x="106"/>
        <item x="881"/>
        <item x="266"/>
        <item x="813"/>
        <item x="426"/>
        <item x="467"/>
        <item x="516"/>
        <item x="391"/>
        <item x="717"/>
        <item x="299"/>
        <item x="161"/>
        <item x="47"/>
        <item x="731"/>
        <item x="715"/>
        <item x="303"/>
        <item x="300"/>
        <item x="880"/>
        <item x="601"/>
        <item x="181"/>
        <item x="221"/>
        <item x="664"/>
        <item x="680"/>
        <item x="849"/>
        <item x="204"/>
        <item x="491"/>
        <item x="273"/>
        <item x="379"/>
        <item x="925"/>
        <item x="875"/>
        <item x="70"/>
        <item x="866"/>
        <item x="113"/>
        <item x="522"/>
        <item x="798"/>
        <item x="838"/>
        <item x="485"/>
        <item x="228"/>
        <item x="156"/>
        <item x="572"/>
        <item x="76"/>
        <item x="832"/>
        <item x="345"/>
        <item x="562"/>
        <item x="720"/>
        <item x="125"/>
        <item x="591"/>
        <item x="573"/>
        <item x="667"/>
        <item x="623"/>
        <item x="906"/>
        <item x="171"/>
        <item x="78"/>
        <item x="7"/>
        <item x="128"/>
        <item x="353"/>
        <item x="351"/>
        <item x="365"/>
        <item x="318"/>
        <item x="245"/>
        <item x="923"/>
        <item x="588"/>
        <item x="6"/>
        <item x="936"/>
        <item x="481"/>
        <item x="61"/>
        <item x="45"/>
        <item x="262"/>
        <item x="542"/>
        <item x="462"/>
        <item x="213"/>
        <item x="836"/>
        <item x="160"/>
        <item x="408"/>
        <item x="37"/>
        <item x="685"/>
        <item x="532"/>
        <item x="556"/>
        <item x="719"/>
        <item x="158"/>
        <item x="371"/>
        <item x="920"/>
        <item x="834"/>
        <item x="528"/>
        <item x="141"/>
        <item x="190"/>
        <item x="635"/>
        <item x="135"/>
        <item x="797"/>
        <item x="483"/>
        <item x="271"/>
        <item x="770"/>
        <item x="669"/>
        <item x="584"/>
        <item x="253"/>
        <item x="425"/>
        <item x="888"/>
        <item x="436"/>
        <item x="261"/>
        <item x="926"/>
        <item x="269"/>
        <item x="184"/>
        <item x="268"/>
        <item x="651"/>
        <item x="390"/>
        <item x="546"/>
        <item x="705"/>
        <item x="307"/>
        <item x="737"/>
        <item x="779"/>
        <item x="46"/>
        <item x="699"/>
        <item x="112"/>
        <item x="921"/>
        <item x="831"/>
        <item x="630"/>
        <item x="484"/>
        <item x="611"/>
        <item x="51"/>
        <item x="118"/>
        <item x="701"/>
        <item x="405"/>
        <item x="895"/>
        <item x="19"/>
        <item x="755"/>
        <item x="385"/>
        <item x="681"/>
        <item x="894"/>
        <item x="768"/>
        <item x="788"/>
        <item x="290"/>
        <item x="99"/>
        <item x="504"/>
        <item x="395"/>
        <item x="865"/>
        <item x="8"/>
        <item x="514"/>
        <item x="503"/>
        <item x="686"/>
        <item x="758"/>
        <item x="308"/>
        <item x="90"/>
        <item x="805"/>
        <item x="649"/>
        <item x="826"/>
        <item x="217"/>
        <item x="692"/>
        <item x="756"/>
        <item x="374"/>
        <item x="647"/>
        <item x="451"/>
        <item x="103"/>
        <item x="594"/>
        <item x="624"/>
        <item x="32"/>
        <item x="853"/>
        <item x="757"/>
        <item x="598"/>
        <item x="185"/>
        <item x="785"/>
        <item x="326"/>
        <item x="547"/>
        <item x="511"/>
        <item x="632"/>
        <item x="499"/>
        <item x="242"/>
        <item x="666"/>
        <item x="671"/>
        <item x="410"/>
        <item x="482"/>
        <item x="689"/>
        <item x="616"/>
        <item x="337"/>
        <item x="231"/>
        <item x="234"/>
        <item x="50"/>
        <item x="33"/>
        <item x="435"/>
        <item x="225"/>
        <item x="327"/>
        <item x="494"/>
        <item x="855"/>
        <item x="29"/>
        <item x="782"/>
        <item x="817"/>
        <item x="240"/>
        <item x="661"/>
        <item x="465"/>
        <item x="191"/>
        <item x="87"/>
        <item x="721"/>
        <item x="15"/>
        <item x="198"/>
        <item x="639"/>
        <item x="375"/>
        <item x="884"/>
        <item x="585"/>
        <item x="673"/>
        <item x="714"/>
        <item x="260"/>
        <item x="93"/>
        <item x="747"/>
        <item x="684"/>
        <item x="309"/>
        <item x="459"/>
        <item x="0"/>
        <item x="316"/>
        <item x="412"/>
        <item x="170"/>
        <item x="475"/>
        <item x="918"/>
        <item x="830"/>
        <item x="310"/>
        <item x="871"/>
        <item x="202"/>
        <item x="928"/>
        <item x="180"/>
        <item x="940"/>
        <item x="872"/>
        <item x="743"/>
        <item x="456"/>
        <item x="155"/>
        <item x="662"/>
        <item x="730"/>
        <item x="25"/>
        <item x="741"/>
        <item x="604"/>
        <item x="933"/>
        <item x="789"/>
        <item x="518"/>
        <item x="554"/>
        <item x="83"/>
        <item x="319"/>
        <item x="939"/>
        <item x="816"/>
        <item x="712"/>
        <item x="369"/>
        <item x="94"/>
        <item x="846"/>
        <item x="780"/>
        <item x="69"/>
        <item x="622"/>
        <item x="558"/>
        <item x="230"/>
        <item x="71"/>
        <item x="793"/>
        <item x="645"/>
        <item x="658"/>
        <item x="708"/>
        <item x="286"/>
        <item x="799"/>
        <item x="902"/>
        <item x="364"/>
        <item x="763"/>
        <item x="216"/>
        <item x="437"/>
        <item x="833"/>
        <item x="420"/>
        <item x="909"/>
        <item x="223"/>
        <item x="557"/>
        <item t="default"/>
      </items>
    </pivotField>
    <pivotField dataField="1" showAll="0"/>
    <pivotField showAll="0">
      <items count="18">
        <item x="7"/>
        <item x="1"/>
        <item x="15"/>
        <item x="12"/>
        <item x="3"/>
        <item x="13"/>
        <item x="8"/>
        <item x="9"/>
        <item x="10"/>
        <item x="4"/>
        <item x="2"/>
        <item x="11"/>
        <item x="6"/>
        <item x="5"/>
        <item x="16"/>
        <item x="0"/>
        <item x="14"/>
        <item t="default"/>
      </items>
    </pivotField>
    <pivotField showAll="0">
      <items count="3">
        <item x="0"/>
        <item x="1"/>
        <item t="default"/>
      </items>
    </pivotField>
    <pivotField showAll="0">
      <items count="4">
        <item x="2"/>
        <item x="0"/>
        <item x="1"/>
        <item t="default"/>
      </items>
    </pivotField>
    <pivotField showAll="0"/>
    <pivotField showAll="0"/>
    <pivotField showAll="0">
      <items count="13">
        <item x="1"/>
        <item x="3"/>
        <item x="5"/>
        <item x="4"/>
        <item x="9"/>
        <item x="2"/>
        <item x="11"/>
        <item x="8"/>
        <item x="10"/>
        <item x="6"/>
        <item x="7"/>
        <item x="0"/>
        <item t="default"/>
      </items>
    </pivotField>
    <pivotField showAll="0"/>
    <pivotField showAll="0"/>
    <pivotField showAll="0"/>
    <pivotField showAll="0">
      <items count="21">
        <item x="8"/>
        <item x="13"/>
        <item x="10"/>
        <item x="17"/>
        <item x="5"/>
        <item x="3"/>
        <item x="1"/>
        <item x="16"/>
        <item x="15"/>
        <item x="4"/>
        <item x="19"/>
        <item x="12"/>
        <item x="9"/>
        <item x="0"/>
        <item x="11"/>
        <item x="18"/>
        <item x="7"/>
        <item x="2"/>
        <item x="6"/>
        <item x="14"/>
        <item t="default"/>
      </items>
    </pivotField>
    <pivotField showAll="0">
      <items count="11">
        <item x="3"/>
        <item x="9"/>
        <item x="1"/>
        <item x="0"/>
        <item x="8"/>
        <item x="7"/>
        <item x="5"/>
        <item x="6"/>
        <item x="2"/>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seats_booked" fld="5" subtotal="average" baseField="0" baseItem="0" numFmtId="2"/>
  </dataFields>
  <formats count="1">
    <format dxfId="3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9060099-FEDC-46F6-9320-B6C3804A5C0E}" sourceName="payment_method">
  <pivotTables>
    <pivotTable tabId="3" name="PivotTable17"/>
    <pivotTable tabId="3" name="PivotTable1"/>
    <pivotTable tabId="3" name="PivotTable10"/>
    <pivotTable tabId="3" name="PivotTable13"/>
    <pivotTable tabId="3" name="PivotTable19"/>
    <pivotTable tabId="3" name="PivotTable2"/>
    <pivotTable tabId="3" name="PivotTable3"/>
    <pivotTable tabId="3" name="PivotTable4"/>
    <pivotTable tabId="3" name="PivotTable5"/>
    <pivotTable tabId="3" name="PivotTable6"/>
    <pivotTable tabId="3" name="PivotTable7"/>
    <pivotTable tabId="3" name="PivotTable14"/>
    <pivotTable tabId="10" name="PivotTable9"/>
    <pivotTable tabId="12" name="PivotTable21"/>
    <pivotTable tabId="12" name="PivotTable15"/>
    <pivotTable tabId="10" name="PivotTable17"/>
  </pivotTables>
  <data>
    <tabular pivotCacheId="16392310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t_amount" xr10:uid="{FEA7551C-2413-4684-B86C-93A1A44BC3B7}" sourceName="ticket_amount">
  <pivotTables>
    <pivotTable tabId="3" name="PivotTable17"/>
    <pivotTable tabId="3" name="PivotTable1"/>
    <pivotTable tabId="3" name="PivotTable10"/>
    <pivotTable tabId="3" name="PivotTable13"/>
    <pivotTable tabId="3" name="PivotTable19"/>
    <pivotTable tabId="3" name="PivotTable2"/>
    <pivotTable tabId="3" name="PivotTable3"/>
    <pivotTable tabId="3" name="PivotTable4"/>
    <pivotTable tabId="3" name="PivotTable5"/>
    <pivotTable tabId="3" name="PivotTable6"/>
    <pivotTable tabId="3" name="PivotTable7"/>
    <pivotTable tabId="3" name="PivotTable14"/>
    <pivotTable tabId="10" name="PivotTable9"/>
    <pivotTable tabId="12" name="PivotTable21"/>
    <pivotTable tabId="12" name="PivotTable15"/>
    <pivotTable tabId="10" name="PivotTable17"/>
  </pivotTables>
  <data>
    <tabular pivotCacheId="163923106" showMissing="0">
      <items count="17">
        <i x="7" s="1"/>
        <i x="1" s="1"/>
        <i x="15" s="1"/>
        <i x="12" s="1"/>
        <i x="3" s="1"/>
        <i x="13" s="1"/>
        <i x="8" s="1"/>
        <i x="9" s="1"/>
        <i x="10" s="1"/>
        <i x="4" s="1"/>
        <i x="2" s="1"/>
        <i x="11" s="1"/>
        <i x="6" s="1"/>
        <i x="5" s="1"/>
        <i x="16" s="1"/>
        <i x="0" s="1"/>
        <i x="14"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status" xr10:uid="{ECC621FB-97CA-4D38-B55E-64B3844C92B8}" sourceName="booking_status">
  <pivotTables>
    <pivotTable tabId="3" name="PivotTable6"/>
    <pivotTable tabId="3" name="PivotTable1"/>
    <pivotTable tabId="3" name="PivotTable10"/>
    <pivotTable tabId="3" name="PivotTable13"/>
    <pivotTable tabId="3" name="PivotTable17"/>
    <pivotTable tabId="3" name="PivotTable19"/>
    <pivotTable tabId="3" name="PivotTable3"/>
    <pivotTable tabId="3" name="PivotTable4"/>
    <pivotTable tabId="3" name="PivotTable5"/>
    <pivotTable tabId="3" name="PivotTable2"/>
    <pivotTable tabId="3" name="PivotTable7"/>
    <pivotTable tabId="3" name="PivotTable14"/>
    <pivotTable tabId="10" name="PivotTable9"/>
    <pivotTable tabId="12" name="PivotTable21"/>
    <pivotTable tabId="10" name="PivotTable17"/>
  </pivotTables>
  <data>
    <tabular pivotCacheId="16392310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7364E56-3D44-4BC7-9BD2-A68555BD476D}" sourceName="month">
  <pivotTables>
    <pivotTable tabId="3" name="PivotTable6"/>
    <pivotTable tabId="3" name="PivotTable1"/>
    <pivotTable tabId="3" name="PivotTable10"/>
    <pivotTable tabId="3" name="PivotTable13"/>
    <pivotTable tabId="3" name="PivotTable17"/>
    <pivotTable tabId="3" name="PivotTable19"/>
    <pivotTable tabId="3" name="PivotTable2"/>
    <pivotTable tabId="3" name="PivotTable3"/>
    <pivotTable tabId="3" name="PivotTable4"/>
    <pivotTable tabId="3" name="PivotTable5"/>
    <pivotTable tabId="3" name="PivotTable7"/>
    <pivotTable tabId="3" name="PivotTable14"/>
    <pivotTable tabId="10" name="PivotTable9"/>
    <pivotTable tabId="12" name="PivotTable21"/>
    <pivotTable tabId="10" name="PivotTable17"/>
  </pivotTables>
  <data>
    <tabular pivotCacheId="163923106">
      <items count="12">
        <i x="1" s="1"/>
        <i x="3" s="1"/>
        <i x="5" s="1"/>
        <i x="4" s="1"/>
        <i x="9" s="1"/>
        <i x="2" s="1"/>
        <i x="11" s="1"/>
        <i x="8" s="1"/>
        <i x="10" s="1"/>
        <i x="6" s="1"/>
        <i x="7"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vie_name1" xr10:uid="{AC354448-B8F8-48C9-89F1-2F1BBE096566}" sourceName="movie_name">
  <pivotTables>
    <pivotTable tabId="3" name="PivotTable17"/>
    <pivotTable tabId="12" name="PivotTable21"/>
    <pivotTable tabId="3" name="PivotTable1"/>
    <pivotTable tabId="3" name="PivotTable10"/>
    <pivotTable tabId="3" name="PivotTable13"/>
    <pivotTable tabId="3" name="PivotTable14"/>
    <pivotTable tabId="3" name="PivotTable19"/>
    <pivotTable tabId="3" name="PivotTable2"/>
    <pivotTable tabId="3" name="PivotTable3"/>
    <pivotTable tabId="3" name="PivotTable4"/>
    <pivotTable tabId="3" name="PivotTable5"/>
    <pivotTable tabId="3" name="PivotTable6"/>
    <pivotTable tabId="3" name="PivotTable7"/>
    <pivotTable tabId="10" name="PivotTable9"/>
    <pivotTable tabId="10" name="PivotTable17"/>
  </pivotTables>
  <data>
    <tabular pivotCacheId="163923106">
      <items count="20">
        <i x="8" s="1"/>
        <i x="13" s="1"/>
        <i x="10" s="1"/>
        <i x="17" s="1"/>
        <i x="5" s="1"/>
        <i x="3" s="1"/>
        <i x="1" s="1"/>
        <i x="16" s="1"/>
        <i x="15" s="1"/>
        <i x="4" s="1"/>
        <i x="19" s="1"/>
        <i x="12" s="1"/>
        <i x="9" s="1"/>
        <i x="0" s="1"/>
        <i x="11" s="1"/>
        <i x="18" s="1"/>
        <i x="7" s="1"/>
        <i x="2" s="1"/>
        <i x="6" s="1"/>
        <i x="1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eatre_name" xr10:uid="{8E289C52-2BDB-4B2D-A83E-F79CA8B5D763}" sourceName="theatre_name">
  <pivotTables>
    <pivotTable tabId="3" name="PivotTable6"/>
    <pivotTable tabId="3" name="PivotTable1"/>
    <pivotTable tabId="3" name="PivotTable10"/>
    <pivotTable tabId="3" name="PivotTable13"/>
    <pivotTable tabId="3" name="PivotTable17"/>
    <pivotTable tabId="3" name="PivotTable19"/>
    <pivotTable tabId="3" name="PivotTable2"/>
    <pivotTable tabId="3" name="PivotTable3"/>
    <pivotTable tabId="3" name="PivotTable4"/>
    <pivotTable tabId="3" name="PivotTable5"/>
    <pivotTable tabId="3" name="PivotTable7"/>
    <pivotTable tabId="3" name="PivotTable14"/>
    <pivotTable tabId="10" name="PivotTable9"/>
    <pivotTable tabId="12" name="PivotTable21"/>
    <pivotTable tabId="10" name="PivotTable17"/>
  </pivotTables>
  <data>
    <tabular pivotCacheId="163923106">
      <items count="10">
        <i x="3" s="1"/>
        <i x="9" s="1"/>
        <i x="1" s="1"/>
        <i x="0" s="1"/>
        <i x="8" s="1"/>
        <i x="7" s="1"/>
        <i x="5" s="1"/>
        <i x="6"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ing_status" xr10:uid="{CF5AB45C-16C1-440A-BC73-107CB9E41A46}" cache="Slicer_booking_status" caption="booking_status" rowHeight="241300"/>
  <slicer name="month 2" xr10:uid="{83E59902-ABA4-4A52-95FA-C61F21E3FF99}" cache="Slicer_month" caption="month" rowHeight="241300"/>
  <slicer name="movie_name 2" xr10:uid="{D18BCAAE-2BF7-4F44-8021-2294E18FBD40}" cache="Slicer_movie_name1" caption="movie_name" rowHeight="241300"/>
  <slicer name="theatre_name" xr10:uid="{8753039C-F6CD-4524-878D-F6997BBAACE6}" cache="Slicer_theatre_name" caption="theatre_name" startItem="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cket_amount 1" xr10:uid="{3DC41669-E9FA-4466-B457-D090BA75CF44}" cache="Slicer_ticket_amount" caption="ticket_amount" rowHeight="241300"/>
  <slicer name="movie_name" xr10:uid="{D069B65D-AA81-4BC2-981C-6EFA66AFB8DF}" cache="Slicer_movie_name1" caption="movie_name" startItem="11" style="SlicerStyleOther2" rowHeight="241300"/>
  <slicer name="theatre_name 1" xr10:uid="{5999A812-DCC1-4017-B634-130ED41B08DE}" cache="Slicer_theatre_name" caption="theatre_name" style="SlicerStyleOther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774B89BE-31C1-4520-94CD-7411E92C2F75}" cache="Slicer_payment_method" caption="payment_method" rowHeight="241300"/>
  <slicer name="ticket_amount" xr10:uid="{DC660CF1-DB9F-4C12-A874-21F33130A767}" cache="Slicer_ticket_amount" caption="ticket_amount" startItem="15" rowHeight="241300"/>
  <slicer name="month 1" xr10:uid="{9097256D-5FBE-47C4-B7DA-ECC71CCA4527}" cache="Slicer_month" caption="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ED2CE7-BA0C-45B1-B640-51CB496B876A}" name="Table3" displayName="Table3" ref="A1:Q114" totalsRowShown="0">
  <autoFilter ref="A1:Q114" xr:uid="{D5ED2CE7-BA0C-45B1-B640-51CB496B876A}"/>
  <tableColumns count="17">
    <tableColumn id="1" xr3:uid="{1BE37FA8-45AD-4CE5-BE63-74E9642B80BB}" name="booking_id"/>
    <tableColumn id="2" xr3:uid="{FB3356E9-7266-44CA-BF25-C71EB954DA94}" name="customer_id"/>
    <tableColumn id="3" xr3:uid="{27BE676C-0F16-4B28-AED0-FC686604B3E8}" name="movie_id"/>
    <tableColumn id="4" xr3:uid="{A8D46950-D333-478C-B278-9E151788A3FA}" name="theatre_id"/>
    <tableColumn id="5" xr3:uid="{331DD5FA-7F40-4988-862A-D453B106149E}" name="show_date" dataDxfId="401"/>
    <tableColumn id="6" xr3:uid="{4083D303-BF65-495D-A8AD-5654BD8F5C0A}" name="seats_booked"/>
    <tableColumn id="7" xr3:uid="{3D22BBE5-D698-4CEC-B0AD-0F252627683D}" name="ticket_amount"/>
    <tableColumn id="8" xr3:uid="{3527B346-7A58-4559-9848-C466871E978E}" name="booking_status"/>
    <tableColumn id="9" xr3:uid="{D702D2E3-8D14-4AFF-9737-C776C7748857}" name="payment_method"/>
    <tableColumn id="10" xr3:uid="{2A80FAD8-E237-49A1-BCCE-5947B3D1A13C}" name="ticket_price"/>
    <tableColumn id="11" xr3:uid="{72827270-22AA-478A-B7A4-17AAA2AE00CD}" name="year"/>
    <tableColumn id="12" xr3:uid="{B7CFB413-D578-4472-8020-F0DCE697A3C8}" name="month"/>
    <tableColumn id="13" xr3:uid="{6886BE73-0AD1-4182-9105-9C3331ADA1FF}" name="hour"/>
    <tableColumn id="14" xr3:uid="{C0D1E386-2164-49B9-9F81-C59AD8945BA2}" name="weekday"/>
    <tableColumn id="15" xr3:uid="{80C8FFF1-6F58-4A90-941A-A421CBD5CF2E}" name="day_type"/>
    <tableColumn id="16" xr3:uid="{7344401A-DDB6-4D54-9661-513ABE354E05}" name="movie_name"/>
    <tableColumn id="17" xr3:uid="{3BE3A55D-C3C5-4EE1-B0F7-88035669C4BC}" name="theatre_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zoomScale="68" workbookViewId="0">
      <selection activeCell="G2" sqref="G2"/>
    </sheetView>
  </sheetViews>
  <sheetFormatPr defaultRowHeight="14.5" x14ac:dyDescent="0.35"/>
  <cols>
    <col min="1" max="1" width="10" bestFit="1" customWidth="1"/>
    <col min="5" max="5" width="17.81640625" bestFit="1" customWidth="1"/>
    <col min="7" max="7" width="12.90625" bestFit="1" customWidth="1"/>
    <col min="16" max="16" width="17.36328125" bestFit="1" customWidth="1"/>
    <col min="17" max="17" width="23.453125" bestFit="1"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v>13</v>
      </c>
      <c r="B2">
        <v>1</v>
      </c>
      <c r="C2">
        <v>3</v>
      </c>
      <c r="D2">
        <v>6</v>
      </c>
      <c r="E2" s="1">
        <v>46365.958333333343</v>
      </c>
      <c r="F2">
        <v>6</v>
      </c>
      <c r="G2">
        <v>54</v>
      </c>
      <c r="H2" t="s">
        <v>17</v>
      </c>
      <c r="I2" t="s">
        <v>18</v>
      </c>
      <c r="J2">
        <v>9</v>
      </c>
      <c r="K2">
        <v>2026</v>
      </c>
      <c r="L2">
        <v>12</v>
      </c>
      <c r="M2">
        <v>23</v>
      </c>
      <c r="N2" t="s">
        <v>19</v>
      </c>
      <c r="O2" t="s">
        <v>13</v>
      </c>
      <c r="P2" t="s">
        <v>20</v>
      </c>
      <c r="Q2" t="s">
        <v>21</v>
      </c>
    </row>
    <row r="3" spans="1:17" x14ac:dyDescent="0.35">
      <c r="A3">
        <v>14</v>
      </c>
      <c r="B3">
        <v>17</v>
      </c>
      <c r="C3">
        <v>10</v>
      </c>
      <c r="D3">
        <v>4</v>
      </c>
      <c r="E3" s="1">
        <v>46053.604166666657</v>
      </c>
      <c r="F3">
        <v>1</v>
      </c>
      <c r="G3">
        <v>9</v>
      </c>
      <c r="H3" t="s">
        <v>22</v>
      </c>
      <c r="I3" t="s">
        <v>18</v>
      </c>
      <c r="J3">
        <v>9</v>
      </c>
      <c r="K3">
        <v>2026</v>
      </c>
      <c r="L3">
        <v>1</v>
      </c>
      <c r="M3">
        <v>14</v>
      </c>
      <c r="N3" t="s">
        <v>23</v>
      </c>
      <c r="O3" t="s">
        <v>24</v>
      </c>
      <c r="P3" t="s">
        <v>25</v>
      </c>
      <c r="Q3" t="s">
        <v>26</v>
      </c>
    </row>
    <row r="4" spans="1:17" x14ac:dyDescent="0.35">
      <c r="A4">
        <v>15</v>
      </c>
      <c r="B4">
        <v>4</v>
      </c>
      <c r="C4">
        <v>14</v>
      </c>
      <c r="D4">
        <v>9</v>
      </c>
      <c r="E4" s="1">
        <v>46180.604166666657</v>
      </c>
      <c r="F4">
        <v>4</v>
      </c>
      <c r="G4">
        <v>36</v>
      </c>
      <c r="H4" t="s">
        <v>22</v>
      </c>
      <c r="I4" t="s">
        <v>27</v>
      </c>
      <c r="J4">
        <v>9</v>
      </c>
      <c r="K4">
        <v>2026</v>
      </c>
      <c r="L4">
        <v>6</v>
      </c>
      <c r="M4">
        <v>14</v>
      </c>
      <c r="N4" t="s">
        <v>28</v>
      </c>
      <c r="O4" t="s">
        <v>24</v>
      </c>
      <c r="P4" t="s">
        <v>29</v>
      </c>
      <c r="Q4" t="s">
        <v>30</v>
      </c>
    </row>
    <row r="5" spans="1:17" x14ac:dyDescent="0.35">
      <c r="A5">
        <v>16</v>
      </c>
      <c r="B5">
        <v>7</v>
      </c>
      <c r="C5">
        <v>10</v>
      </c>
      <c r="D5">
        <v>10</v>
      </c>
      <c r="E5" s="1">
        <v>46061.625</v>
      </c>
      <c r="F5">
        <v>2</v>
      </c>
      <c r="G5">
        <v>18</v>
      </c>
      <c r="H5" t="s">
        <v>22</v>
      </c>
      <c r="I5" t="s">
        <v>31</v>
      </c>
      <c r="J5">
        <v>9</v>
      </c>
      <c r="K5">
        <v>2026</v>
      </c>
      <c r="L5">
        <v>2</v>
      </c>
      <c r="M5">
        <v>15</v>
      </c>
      <c r="N5" t="s">
        <v>28</v>
      </c>
      <c r="O5" t="s">
        <v>24</v>
      </c>
      <c r="P5" t="s">
        <v>25</v>
      </c>
      <c r="Q5" t="s">
        <v>32</v>
      </c>
    </row>
    <row r="6" spans="1:17" x14ac:dyDescent="0.35">
      <c r="A6">
        <v>17</v>
      </c>
      <c r="B6">
        <v>2</v>
      </c>
      <c r="C6">
        <v>7</v>
      </c>
      <c r="D6">
        <v>7</v>
      </c>
      <c r="E6" s="1">
        <v>46139.6875</v>
      </c>
      <c r="F6">
        <v>4</v>
      </c>
      <c r="G6">
        <v>32</v>
      </c>
      <c r="H6" t="s">
        <v>22</v>
      </c>
      <c r="I6" t="s">
        <v>18</v>
      </c>
      <c r="J6">
        <v>8</v>
      </c>
      <c r="K6">
        <v>2026</v>
      </c>
      <c r="L6">
        <v>4</v>
      </c>
      <c r="M6">
        <v>16</v>
      </c>
      <c r="N6" t="s">
        <v>33</v>
      </c>
      <c r="O6" t="s">
        <v>13</v>
      </c>
      <c r="P6" t="s">
        <v>34</v>
      </c>
      <c r="Q6" t="s">
        <v>35</v>
      </c>
    </row>
    <row r="7" spans="1:17" x14ac:dyDescent="0.35">
      <c r="A7">
        <v>18</v>
      </c>
      <c r="B7">
        <v>17</v>
      </c>
      <c r="C7">
        <v>20</v>
      </c>
      <c r="D7">
        <v>6</v>
      </c>
      <c r="E7" s="1">
        <v>46106.770833333343</v>
      </c>
      <c r="F7">
        <v>6</v>
      </c>
      <c r="G7">
        <v>48</v>
      </c>
      <c r="H7" t="s">
        <v>22</v>
      </c>
      <c r="I7" t="s">
        <v>31</v>
      </c>
      <c r="J7">
        <v>8</v>
      </c>
      <c r="K7">
        <v>2026</v>
      </c>
      <c r="L7">
        <v>3</v>
      </c>
      <c r="M7">
        <v>18</v>
      </c>
      <c r="N7" t="s">
        <v>19</v>
      </c>
      <c r="O7" t="s">
        <v>13</v>
      </c>
      <c r="P7" t="s">
        <v>36</v>
      </c>
      <c r="Q7" t="s">
        <v>21</v>
      </c>
    </row>
    <row r="8" spans="1:17" x14ac:dyDescent="0.35">
      <c r="A8">
        <v>19</v>
      </c>
      <c r="B8">
        <v>15</v>
      </c>
      <c r="C8">
        <v>15</v>
      </c>
      <c r="D8">
        <v>9</v>
      </c>
      <c r="E8" s="1">
        <v>46308.9375</v>
      </c>
      <c r="F8">
        <v>6</v>
      </c>
      <c r="G8">
        <v>54</v>
      </c>
      <c r="H8" t="s">
        <v>22</v>
      </c>
      <c r="I8" t="s">
        <v>18</v>
      </c>
      <c r="J8">
        <v>9</v>
      </c>
      <c r="K8">
        <v>2026</v>
      </c>
      <c r="L8">
        <v>10</v>
      </c>
      <c r="M8">
        <v>22</v>
      </c>
      <c r="N8" t="s">
        <v>37</v>
      </c>
      <c r="O8" t="s">
        <v>13</v>
      </c>
      <c r="P8" t="s">
        <v>38</v>
      </c>
      <c r="Q8" t="s">
        <v>30</v>
      </c>
    </row>
    <row r="9" spans="1:17" x14ac:dyDescent="0.35">
      <c r="A9">
        <v>20</v>
      </c>
      <c r="B9">
        <v>17</v>
      </c>
      <c r="C9">
        <v>1</v>
      </c>
      <c r="D9">
        <v>1</v>
      </c>
      <c r="E9" s="1">
        <v>46305.625</v>
      </c>
      <c r="F9">
        <v>5</v>
      </c>
      <c r="G9">
        <v>45</v>
      </c>
      <c r="H9" t="s">
        <v>22</v>
      </c>
      <c r="I9" t="s">
        <v>27</v>
      </c>
      <c r="J9">
        <v>9</v>
      </c>
      <c r="K9">
        <v>2026</v>
      </c>
      <c r="L9">
        <v>10</v>
      </c>
      <c r="M9">
        <v>15</v>
      </c>
      <c r="N9" t="s">
        <v>23</v>
      </c>
      <c r="O9" t="s">
        <v>24</v>
      </c>
      <c r="P9" t="s">
        <v>39</v>
      </c>
      <c r="Q9" t="s">
        <v>40</v>
      </c>
    </row>
    <row r="10" spans="1:17" x14ac:dyDescent="0.35">
      <c r="A10">
        <v>21</v>
      </c>
      <c r="B10">
        <v>13</v>
      </c>
      <c r="C10">
        <v>8</v>
      </c>
      <c r="D10">
        <v>1</v>
      </c>
      <c r="E10" s="1">
        <v>46338.770833333343</v>
      </c>
      <c r="F10">
        <v>1</v>
      </c>
      <c r="G10">
        <v>8</v>
      </c>
      <c r="H10" t="s">
        <v>22</v>
      </c>
      <c r="I10" t="s">
        <v>31</v>
      </c>
      <c r="J10">
        <v>8</v>
      </c>
      <c r="K10">
        <v>2026</v>
      </c>
      <c r="L10">
        <v>11</v>
      </c>
      <c r="M10">
        <v>18</v>
      </c>
      <c r="N10" t="s">
        <v>41</v>
      </c>
      <c r="O10" t="s">
        <v>13</v>
      </c>
      <c r="P10" t="s">
        <v>42</v>
      </c>
      <c r="Q10" t="s">
        <v>40</v>
      </c>
    </row>
    <row r="11" spans="1:17" x14ac:dyDescent="0.35">
      <c r="A11">
        <v>22</v>
      </c>
      <c r="B11">
        <v>19</v>
      </c>
      <c r="C11">
        <v>2</v>
      </c>
      <c r="D11">
        <v>3</v>
      </c>
      <c r="E11" s="1">
        <v>46122.770833333343</v>
      </c>
      <c r="F11">
        <v>3</v>
      </c>
      <c r="G11">
        <v>24</v>
      </c>
      <c r="H11" t="s">
        <v>22</v>
      </c>
      <c r="I11" t="s">
        <v>27</v>
      </c>
      <c r="J11">
        <v>8</v>
      </c>
      <c r="K11">
        <v>2026</v>
      </c>
      <c r="L11">
        <v>4</v>
      </c>
      <c r="M11">
        <v>18</v>
      </c>
      <c r="N11" t="s">
        <v>43</v>
      </c>
      <c r="O11" t="s">
        <v>13</v>
      </c>
      <c r="P11" t="s">
        <v>44</v>
      </c>
      <c r="Q11" t="s">
        <v>45</v>
      </c>
    </row>
    <row r="12" spans="1:17" x14ac:dyDescent="0.35">
      <c r="A12">
        <v>23</v>
      </c>
      <c r="B12">
        <v>6</v>
      </c>
      <c r="C12">
        <v>7</v>
      </c>
      <c r="D12">
        <v>8</v>
      </c>
      <c r="E12" s="1">
        <v>46093.770833333343</v>
      </c>
      <c r="F12">
        <v>1</v>
      </c>
      <c r="G12">
        <v>8</v>
      </c>
      <c r="H12" t="s">
        <v>22</v>
      </c>
      <c r="I12" t="s">
        <v>31</v>
      </c>
      <c r="J12">
        <v>8</v>
      </c>
      <c r="K12">
        <v>2026</v>
      </c>
      <c r="L12">
        <v>3</v>
      </c>
      <c r="M12">
        <v>18</v>
      </c>
      <c r="N12" t="s">
        <v>41</v>
      </c>
      <c r="O12" t="s">
        <v>13</v>
      </c>
      <c r="P12" t="s">
        <v>34</v>
      </c>
      <c r="Q12" t="s">
        <v>46</v>
      </c>
    </row>
    <row r="13" spans="1:17" x14ac:dyDescent="0.35">
      <c r="A13">
        <v>24</v>
      </c>
      <c r="B13">
        <v>19</v>
      </c>
      <c r="C13">
        <v>18</v>
      </c>
      <c r="D13">
        <v>4</v>
      </c>
      <c r="E13" s="1">
        <v>46263.833333333343</v>
      </c>
      <c r="F13">
        <v>1</v>
      </c>
      <c r="G13">
        <v>9</v>
      </c>
      <c r="H13" t="s">
        <v>22</v>
      </c>
      <c r="I13" t="s">
        <v>18</v>
      </c>
      <c r="J13">
        <v>9</v>
      </c>
      <c r="K13">
        <v>2026</v>
      </c>
      <c r="L13">
        <v>8</v>
      </c>
      <c r="M13">
        <v>20</v>
      </c>
      <c r="N13" t="s">
        <v>23</v>
      </c>
      <c r="O13" t="s">
        <v>24</v>
      </c>
      <c r="P13" t="s">
        <v>47</v>
      </c>
      <c r="Q13" t="s">
        <v>26</v>
      </c>
    </row>
    <row r="14" spans="1:17" x14ac:dyDescent="0.35">
      <c r="A14">
        <v>25</v>
      </c>
      <c r="B14">
        <v>18</v>
      </c>
      <c r="C14">
        <v>9</v>
      </c>
      <c r="D14">
        <v>3</v>
      </c>
      <c r="E14" s="1">
        <v>46063.791666666657</v>
      </c>
      <c r="F14">
        <v>1</v>
      </c>
      <c r="G14">
        <v>8</v>
      </c>
      <c r="H14" t="s">
        <v>22</v>
      </c>
      <c r="I14" t="s">
        <v>31</v>
      </c>
      <c r="J14">
        <v>8</v>
      </c>
      <c r="K14">
        <v>2026</v>
      </c>
      <c r="L14">
        <v>2</v>
      </c>
      <c r="M14">
        <v>19</v>
      </c>
      <c r="N14" t="s">
        <v>37</v>
      </c>
      <c r="O14" t="s">
        <v>13</v>
      </c>
      <c r="P14" t="s">
        <v>48</v>
      </c>
      <c r="Q14" t="s">
        <v>45</v>
      </c>
    </row>
    <row r="15" spans="1:17" x14ac:dyDescent="0.35">
      <c r="A15">
        <v>26</v>
      </c>
      <c r="B15">
        <v>12</v>
      </c>
      <c r="C15">
        <v>20</v>
      </c>
      <c r="D15">
        <v>8</v>
      </c>
      <c r="E15" s="1">
        <v>46056.666666666657</v>
      </c>
      <c r="F15">
        <v>1</v>
      </c>
      <c r="G15">
        <v>8</v>
      </c>
      <c r="H15" t="s">
        <v>22</v>
      </c>
      <c r="I15" t="s">
        <v>18</v>
      </c>
      <c r="J15">
        <v>8</v>
      </c>
      <c r="K15">
        <v>2026</v>
      </c>
      <c r="L15">
        <v>2</v>
      </c>
      <c r="M15">
        <v>16</v>
      </c>
      <c r="N15" t="s">
        <v>37</v>
      </c>
      <c r="O15" t="s">
        <v>13</v>
      </c>
      <c r="P15" t="s">
        <v>36</v>
      </c>
      <c r="Q15" t="s">
        <v>46</v>
      </c>
    </row>
    <row r="16" spans="1:17" x14ac:dyDescent="0.35">
      <c r="A16">
        <v>27</v>
      </c>
      <c r="B16">
        <v>20</v>
      </c>
      <c r="C16">
        <v>9</v>
      </c>
      <c r="D16">
        <v>8</v>
      </c>
      <c r="E16" s="1">
        <v>46144.666666666657</v>
      </c>
      <c r="F16">
        <v>6</v>
      </c>
      <c r="G16">
        <v>54</v>
      </c>
      <c r="H16" t="s">
        <v>22</v>
      </c>
      <c r="I16" t="s">
        <v>18</v>
      </c>
      <c r="J16">
        <v>9</v>
      </c>
      <c r="K16">
        <v>2026</v>
      </c>
      <c r="L16">
        <v>5</v>
      </c>
      <c r="M16">
        <v>16</v>
      </c>
      <c r="N16" t="s">
        <v>23</v>
      </c>
      <c r="O16" t="s">
        <v>24</v>
      </c>
      <c r="P16" t="s">
        <v>48</v>
      </c>
      <c r="Q16" t="s">
        <v>46</v>
      </c>
    </row>
    <row r="17" spans="1:17" x14ac:dyDescent="0.35">
      <c r="A17">
        <v>28</v>
      </c>
      <c r="B17">
        <v>14</v>
      </c>
      <c r="C17">
        <v>2</v>
      </c>
      <c r="D17">
        <v>9</v>
      </c>
      <c r="E17" s="1">
        <v>46361.770833333343</v>
      </c>
      <c r="F17">
        <v>1</v>
      </c>
      <c r="G17">
        <v>9</v>
      </c>
      <c r="H17" t="s">
        <v>22</v>
      </c>
      <c r="I17" t="s">
        <v>31</v>
      </c>
      <c r="J17">
        <v>9</v>
      </c>
      <c r="K17">
        <v>2026</v>
      </c>
      <c r="L17">
        <v>12</v>
      </c>
      <c r="M17">
        <v>18</v>
      </c>
      <c r="N17" t="s">
        <v>23</v>
      </c>
      <c r="O17" t="s">
        <v>24</v>
      </c>
      <c r="P17" t="s">
        <v>44</v>
      </c>
      <c r="Q17" t="s">
        <v>30</v>
      </c>
    </row>
    <row r="18" spans="1:17" x14ac:dyDescent="0.35">
      <c r="A18">
        <v>29</v>
      </c>
      <c r="B18">
        <v>9</v>
      </c>
      <c r="C18">
        <v>1</v>
      </c>
      <c r="D18">
        <v>1</v>
      </c>
      <c r="E18" s="1">
        <v>46127.666666666657</v>
      </c>
      <c r="F18">
        <v>6</v>
      </c>
      <c r="G18">
        <v>48</v>
      </c>
      <c r="H18" t="s">
        <v>22</v>
      </c>
      <c r="I18" t="s">
        <v>31</v>
      </c>
      <c r="J18">
        <v>8</v>
      </c>
      <c r="K18">
        <v>2026</v>
      </c>
      <c r="L18">
        <v>4</v>
      </c>
      <c r="M18">
        <v>16</v>
      </c>
      <c r="N18" t="s">
        <v>19</v>
      </c>
      <c r="O18" t="s">
        <v>13</v>
      </c>
      <c r="P18" t="s">
        <v>39</v>
      </c>
      <c r="Q18" t="s">
        <v>40</v>
      </c>
    </row>
    <row r="19" spans="1:17" x14ac:dyDescent="0.35">
      <c r="A19">
        <v>30</v>
      </c>
      <c r="B19">
        <v>18</v>
      </c>
      <c r="C19">
        <v>3</v>
      </c>
      <c r="D19">
        <v>3</v>
      </c>
      <c r="E19" s="1">
        <v>46156.604166666657</v>
      </c>
      <c r="F19">
        <v>1</v>
      </c>
      <c r="G19">
        <v>8</v>
      </c>
      <c r="H19" t="s">
        <v>22</v>
      </c>
      <c r="I19" t="s">
        <v>27</v>
      </c>
      <c r="J19">
        <v>8</v>
      </c>
      <c r="K19">
        <v>2026</v>
      </c>
      <c r="L19">
        <v>5</v>
      </c>
      <c r="M19">
        <v>14</v>
      </c>
      <c r="N19" t="s">
        <v>41</v>
      </c>
      <c r="O19" t="s">
        <v>13</v>
      </c>
      <c r="P19" t="s">
        <v>20</v>
      </c>
      <c r="Q19" t="s">
        <v>45</v>
      </c>
    </row>
    <row r="20" spans="1:17" x14ac:dyDescent="0.35">
      <c r="A20">
        <v>31</v>
      </c>
      <c r="B20">
        <v>8</v>
      </c>
      <c r="C20">
        <v>13</v>
      </c>
      <c r="D20">
        <v>3</v>
      </c>
      <c r="E20" s="1">
        <v>46111.770833333343</v>
      </c>
      <c r="F20">
        <v>4</v>
      </c>
      <c r="G20">
        <v>32</v>
      </c>
      <c r="H20" t="s">
        <v>22</v>
      </c>
      <c r="I20" t="s">
        <v>27</v>
      </c>
      <c r="J20">
        <v>8</v>
      </c>
      <c r="K20">
        <v>2026</v>
      </c>
      <c r="L20">
        <v>3</v>
      </c>
      <c r="M20">
        <v>18</v>
      </c>
      <c r="N20" t="s">
        <v>33</v>
      </c>
      <c r="O20" t="s">
        <v>13</v>
      </c>
      <c r="P20" t="s">
        <v>49</v>
      </c>
      <c r="Q20" t="s">
        <v>45</v>
      </c>
    </row>
    <row r="21" spans="1:17" x14ac:dyDescent="0.35">
      <c r="A21">
        <v>32</v>
      </c>
      <c r="B21">
        <v>13</v>
      </c>
      <c r="C21">
        <v>15</v>
      </c>
      <c r="D21">
        <v>6</v>
      </c>
      <c r="E21" s="1">
        <v>46332.875</v>
      </c>
      <c r="F21">
        <v>1</v>
      </c>
      <c r="G21">
        <v>9</v>
      </c>
      <c r="H21" t="s">
        <v>22</v>
      </c>
      <c r="I21" t="s">
        <v>31</v>
      </c>
      <c r="J21">
        <v>9</v>
      </c>
      <c r="K21">
        <v>2026</v>
      </c>
      <c r="L21">
        <v>11</v>
      </c>
      <c r="M21">
        <v>21</v>
      </c>
      <c r="N21" t="s">
        <v>43</v>
      </c>
      <c r="O21" t="s">
        <v>13</v>
      </c>
      <c r="P21" t="s">
        <v>38</v>
      </c>
      <c r="Q21" t="s">
        <v>21</v>
      </c>
    </row>
    <row r="22" spans="1:17" x14ac:dyDescent="0.35">
      <c r="A22">
        <v>33</v>
      </c>
      <c r="B22">
        <v>14</v>
      </c>
      <c r="C22">
        <v>15</v>
      </c>
      <c r="D22">
        <v>7</v>
      </c>
      <c r="E22" s="1">
        <v>46285.729166666657</v>
      </c>
      <c r="F22">
        <v>2</v>
      </c>
      <c r="G22">
        <v>18</v>
      </c>
      <c r="H22" t="s">
        <v>22</v>
      </c>
      <c r="I22" t="s">
        <v>18</v>
      </c>
      <c r="J22">
        <v>9</v>
      </c>
      <c r="K22">
        <v>2026</v>
      </c>
      <c r="L22">
        <v>9</v>
      </c>
      <c r="M22">
        <v>17</v>
      </c>
      <c r="N22" t="s">
        <v>28</v>
      </c>
      <c r="O22" t="s">
        <v>24</v>
      </c>
      <c r="P22" t="s">
        <v>38</v>
      </c>
      <c r="Q22" t="s">
        <v>35</v>
      </c>
    </row>
    <row r="23" spans="1:17" x14ac:dyDescent="0.35">
      <c r="A23">
        <v>34</v>
      </c>
      <c r="B23">
        <v>17</v>
      </c>
      <c r="C23">
        <v>14</v>
      </c>
      <c r="D23">
        <v>1</v>
      </c>
      <c r="E23" s="1">
        <v>46087.958333333343</v>
      </c>
      <c r="F23">
        <v>4</v>
      </c>
      <c r="G23">
        <v>36</v>
      </c>
      <c r="H23" t="s">
        <v>22</v>
      </c>
      <c r="I23" t="s">
        <v>31</v>
      </c>
      <c r="J23">
        <v>9</v>
      </c>
      <c r="K23">
        <v>2026</v>
      </c>
      <c r="L23">
        <v>3</v>
      </c>
      <c r="M23">
        <v>23</v>
      </c>
      <c r="N23" t="s">
        <v>43</v>
      </c>
      <c r="O23" t="s">
        <v>13</v>
      </c>
      <c r="P23" t="s">
        <v>29</v>
      </c>
      <c r="Q23" t="s">
        <v>40</v>
      </c>
    </row>
    <row r="24" spans="1:17" x14ac:dyDescent="0.35">
      <c r="A24">
        <v>35</v>
      </c>
      <c r="B24">
        <v>17</v>
      </c>
      <c r="C24">
        <v>15</v>
      </c>
      <c r="D24">
        <v>5</v>
      </c>
      <c r="E24" s="1">
        <v>46187.708333333343</v>
      </c>
      <c r="F24">
        <v>5</v>
      </c>
      <c r="G24">
        <v>45</v>
      </c>
      <c r="H24" t="s">
        <v>22</v>
      </c>
      <c r="I24" t="s">
        <v>31</v>
      </c>
      <c r="J24">
        <v>9</v>
      </c>
      <c r="K24">
        <v>2026</v>
      </c>
      <c r="L24">
        <v>6</v>
      </c>
      <c r="M24">
        <v>17</v>
      </c>
      <c r="N24" t="s">
        <v>28</v>
      </c>
      <c r="O24" t="s">
        <v>24</v>
      </c>
      <c r="P24" t="s">
        <v>38</v>
      </c>
      <c r="Q24" t="s">
        <v>50</v>
      </c>
    </row>
    <row r="25" spans="1:17" x14ac:dyDescent="0.35">
      <c r="A25">
        <v>36</v>
      </c>
      <c r="B25">
        <v>16</v>
      </c>
      <c r="C25">
        <v>18</v>
      </c>
      <c r="D25">
        <v>3</v>
      </c>
      <c r="E25" s="1">
        <v>46097.75</v>
      </c>
      <c r="F25">
        <v>6</v>
      </c>
      <c r="G25">
        <v>48</v>
      </c>
      <c r="H25" t="s">
        <v>22</v>
      </c>
      <c r="I25" t="s">
        <v>27</v>
      </c>
      <c r="J25">
        <v>8</v>
      </c>
      <c r="K25">
        <v>2026</v>
      </c>
      <c r="L25">
        <v>3</v>
      </c>
      <c r="M25">
        <v>18</v>
      </c>
      <c r="N25" t="s">
        <v>33</v>
      </c>
      <c r="O25" t="s">
        <v>13</v>
      </c>
      <c r="P25" t="s">
        <v>47</v>
      </c>
      <c r="Q25" t="s">
        <v>45</v>
      </c>
    </row>
    <row r="26" spans="1:17" x14ac:dyDescent="0.35">
      <c r="A26">
        <v>37</v>
      </c>
      <c r="B26">
        <v>2</v>
      </c>
      <c r="C26">
        <v>1</v>
      </c>
      <c r="D26">
        <v>3</v>
      </c>
      <c r="E26" s="1">
        <v>46062.645833333343</v>
      </c>
      <c r="F26">
        <v>4</v>
      </c>
      <c r="G26">
        <v>32</v>
      </c>
      <c r="H26" t="s">
        <v>22</v>
      </c>
      <c r="I26" t="s">
        <v>31</v>
      </c>
      <c r="J26">
        <v>8</v>
      </c>
      <c r="K26">
        <v>2026</v>
      </c>
      <c r="L26">
        <v>2</v>
      </c>
      <c r="M26">
        <v>15</v>
      </c>
      <c r="N26" t="s">
        <v>33</v>
      </c>
      <c r="O26" t="s">
        <v>13</v>
      </c>
      <c r="P26" t="s">
        <v>39</v>
      </c>
      <c r="Q26" t="s">
        <v>45</v>
      </c>
    </row>
    <row r="27" spans="1:17" x14ac:dyDescent="0.35">
      <c r="A27">
        <v>38</v>
      </c>
      <c r="B27">
        <v>8</v>
      </c>
      <c r="C27">
        <v>16</v>
      </c>
      <c r="D27">
        <v>4</v>
      </c>
      <c r="E27" s="1">
        <v>46375.645833333343</v>
      </c>
      <c r="F27">
        <v>3</v>
      </c>
      <c r="G27">
        <v>27</v>
      </c>
      <c r="H27" t="s">
        <v>17</v>
      </c>
      <c r="I27" t="s">
        <v>18</v>
      </c>
      <c r="J27">
        <v>9</v>
      </c>
      <c r="K27">
        <v>2026</v>
      </c>
      <c r="L27">
        <v>12</v>
      </c>
      <c r="M27">
        <v>15</v>
      </c>
      <c r="N27" t="s">
        <v>23</v>
      </c>
      <c r="O27" t="s">
        <v>24</v>
      </c>
      <c r="P27" t="s">
        <v>51</v>
      </c>
      <c r="Q27" t="s">
        <v>26</v>
      </c>
    </row>
    <row r="28" spans="1:17" x14ac:dyDescent="0.35">
      <c r="A28">
        <v>39</v>
      </c>
      <c r="B28">
        <v>16</v>
      </c>
      <c r="C28">
        <v>6</v>
      </c>
      <c r="D28">
        <v>4</v>
      </c>
      <c r="E28" s="1">
        <v>46035.604166666657</v>
      </c>
      <c r="F28">
        <v>4</v>
      </c>
      <c r="G28">
        <v>32</v>
      </c>
      <c r="H28" t="s">
        <v>22</v>
      </c>
      <c r="I28" t="s">
        <v>31</v>
      </c>
      <c r="J28">
        <v>8</v>
      </c>
      <c r="K28">
        <v>2026</v>
      </c>
      <c r="L28">
        <v>1</v>
      </c>
      <c r="M28">
        <v>14</v>
      </c>
      <c r="N28" t="s">
        <v>37</v>
      </c>
      <c r="O28" t="s">
        <v>13</v>
      </c>
      <c r="P28" t="s">
        <v>52</v>
      </c>
      <c r="Q28" t="s">
        <v>26</v>
      </c>
    </row>
    <row r="29" spans="1:17" x14ac:dyDescent="0.35">
      <c r="A29">
        <v>40</v>
      </c>
      <c r="B29">
        <v>2</v>
      </c>
      <c r="C29">
        <v>13</v>
      </c>
      <c r="D29">
        <v>8</v>
      </c>
      <c r="E29" s="1">
        <v>46219.854166666657</v>
      </c>
      <c r="F29">
        <v>1</v>
      </c>
      <c r="G29">
        <v>8</v>
      </c>
      <c r="H29" t="s">
        <v>22</v>
      </c>
      <c r="I29" t="s">
        <v>31</v>
      </c>
      <c r="J29">
        <v>8</v>
      </c>
      <c r="K29">
        <v>2026</v>
      </c>
      <c r="L29">
        <v>7</v>
      </c>
      <c r="M29">
        <v>20</v>
      </c>
      <c r="N29" t="s">
        <v>41</v>
      </c>
      <c r="O29" t="s">
        <v>13</v>
      </c>
      <c r="P29" t="s">
        <v>49</v>
      </c>
      <c r="Q29" t="s">
        <v>46</v>
      </c>
    </row>
    <row r="30" spans="1:17" x14ac:dyDescent="0.35">
      <c r="A30">
        <v>41</v>
      </c>
      <c r="B30">
        <v>4</v>
      </c>
      <c r="C30">
        <v>16</v>
      </c>
      <c r="D30">
        <v>1</v>
      </c>
      <c r="E30" s="1">
        <v>46206.854166666657</v>
      </c>
      <c r="F30">
        <v>1</v>
      </c>
      <c r="G30">
        <v>8</v>
      </c>
      <c r="H30" t="s">
        <v>22</v>
      </c>
      <c r="I30" t="s">
        <v>18</v>
      </c>
      <c r="J30">
        <v>8</v>
      </c>
      <c r="K30">
        <v>2026</v>
      </c>
      <c r="L30">
        <v>7</v>
      </c>
      <c r="M30">
        <v>20</v>
      </c>
      <c r="N30" t="s">
        <v>43</v>
      </c>
      <c r="O30" t="s">
        <v>13</v>
      </c>
      <c r="P30" t="s">
        <v>51</v>
      </c>
      <c r="Q30" t="s">
        <v>40</v>
      </c>
    </row>
    <row r="31" spans="1:17" x14ac:dyDescent="0.35">
      <c r="A31">
        <v>42</v>
      </c>
      <c r="B31">
        <v>6</v>
      </c>
      <c r="C31">
        <v>2</v>
      </c>
      <c r="D31">
        <v>1</v>
      </c>
      <c r="E31" s="1">
        <v>46355.916666666657</v>
      </c>
      <c r="F31">
        <v>3</v>
      </c>
      <c r="G31">
        <v>30</v>
      </c>
      <c r="H31" t="s">
        <v>22</v>
      </c>
      <c r="I31" t="s">
        <v>18</v>
      </c>
      <c r="J31">
        <v>10</v>
      </c>
      <c r="K31">
        <v>2026</v>
      </c>
      <c r="L31">
        <v>11</v>
      </c>
      <c r="M31">
        <v>22</v>
      </c>
      <c r="N31" t="s">
        <v>28</v>
      </c>
      <c r="O31" t="s">
        <v>24</v>
      </c>
      <c r="P31" t="s">
        <v>44</v>
      </c>
      <c r="Q31" t="s">
        <v>40</v>
      </c>
    </row>
    <row r="32" spans="1:17" x14ac:dyDescent="0.35">
      <c r="A32">
        <v>43</v>
      </c>
      <c r="B32">
        <v>7</v>
      </c>
      <c r="C32">
        <v>15</v>
      </c>
      <c r="D32">
        <v>1</v>
      </c>
      <c r="E32" s="1">
        <v>46283.625</v>
      </c>
      <c r="F32">
        <v>3</v>
      </c>
      <c r="G32">
        <v>24</v>
      </c>
      <c r="H32" t="s">
        <v>22</v>
      </c>
      <c r="I32" t="s">
        <v>31</v>
      </c>
      <c r="J32">
        <v>8</v>
      </c>
      <c r="K32">
        <v>2026</v>
      </c>
      <c r="L32">
        <v>9</v>
      </c>
      <c r="M32">
        <v>15</v>
      </c>
      <c r="N32" t="s">
        <v>43</v>
      </c>
      <c r="O32" t="s">
        <v>13</v>
      </c>
      <c r="P32" t="s">
        <v>38</v>
      </c>
      <c r="Q32" t="s">
        <v>40</v>
      </c>
    </row>
    <row r="33" spans="1:17" x14ac:dyDescent="0.35">
      <c r="A33">
        <v>44</v>
      </c>
      <c r="B33">
        <v>13</v>
      </c>
      <c r="C33">
        <v>20</v>
      </c>
      <c r="D33">
        <v>6</v>
      </c>
      <c r="E33" s="1">
        <v>46039.9375</v>
      </c>
      <c r="F33">
        <v>4</v>
      </c>
      <c r="G33">
        <v>40</v>
      </c>
      <c r="H33" t="s">
        <v>22</v>
      </c>
      <c r="I33" t="s">
        <v>27</v>
      </c>
      <c r="J33">
        <v>10</v>
      </c>
      <c r="K33">
        <v>2026</v>
      </c>
      <c r="L33">
        <v>1</v>
      </c>
      <c r="M33">
        <v>22</v>
      </c>
      <c r="N33" t="s">
        <v>23</v>
      </c>
      <c r="O33" t="s">
        <v>24</v>
      </c>
      <c r="P33" t="s">
        <v>36</v>
      </c>
      <c r="Q33" t="s">
        <v>21</v>
      </c>
    </row>
    <row r="34" spans="1:17" x14ac:dyDescent="0.35">
      <c r="A34">
        <v>45</v>
      </c>
      <c r="B34">
        <v>13</v>
      </c>
      <c r="C34">
        <v>5</v>
      </c>
      <c r="D34">
        <v>8</v>
      </c>
      <c r="E34" s="1">
        <v>46346.8125</v>
      </c>
      <c r="F34">
        <v>1</v>
      </c>
      <c r="G34">
        <v>8</v>
      </c>
      <c r="H34" t="s">
        <v>22</v>
      </c>
      <c r="I34" t="s">
        <v>27</v>
      </c>
      <c r="J34">
        <v>8</v>
      </c>
      <c r="K34">
        <v>2026</v>
      </c>
      <c r="L34">
        <v>11</v>
      </c>
      <c r="M34">
        <v>19</v>
      </c>
      <c r="N34" t="s">
        <v>43</v>
      </c>
      <c r="O34" t="s">
        <v>13</v>
      </c>
      <c r="P34" t="s">
        <v>53</v>
      </c>
      <c r="Q34" t="s">
        <v>46</v>
      </c>
    </row>
    <row r="35" spans="1:17" x14ac:dyDescent="0.35">
      <c r="A35">
        <v>46</v>
      </c>
      <c r="B35">
        <v>11</v>
      </c>
      <c r="C35">
        <v>3</v>
      </c>
      <c r="D35">
        <v>4</v>
      </c>
      <c r="E35" s="1">
        <v>46353.854166666657</v>
      </c>
      <c r="F35">
        <v>3</v>
      </c>
      <c r="G35">
        <v>24</v>
      </c>
      <c r="H35" t="s">
        <v>22</v>
      </c>
      <c r="I35" t="s">
        <v>18</v>
      </c>
      <c r="J35">
        <v>8</v>
      </c>
      <c r="K35">
        <v>2026</v>
      </c>
      <c r="L35">
        <v>11</v>
      </c>
      <c r="M35">
        <v>20</v>
      </c>
      <c r="N35" t="s">
        <v>43</v>
      </c>
      <c r="O35" t="s">
        <v>13</v>
      </c>
      <c r="P35" t="s">
        <v>20</v>
      </c>
      <c r="Q35" t="s">
        <v>26</v>
      </c>
    </row>
    <row r="36" spans="1:17" x14ac:dyDescent="0.35">
      <c r="A36">
        <v>47</v>
      </c>
      <c r="B36">
        <v>16</v>
      </c>
      <c r="C36">
        <v>7</v>
      </c>
      <c r="D36">
        <v>5</v>
      </c>
      <c r="E36" s="1">
        <v>46186.770833333343</v>
      </c>
      <c r="F36">
        <v>5</v>
      </c>
      <c r="G36">
        <v>45</v>
      </c>
      <c r="H36" t="s">
        <v>22</v>
      </c>
      <c r="I36" t="s">
        <v>27</v>
      </c>
      <c r="J36">
        <v>9</v>
      </c>
      <c r="K36">
        <v>2026</v>
      </c>
      <c r="L36">
        <v>6</v>
      </c>
      <c r="M36">
        <v>18</v>
      </c>
      <c r="N36" t="s">
        <v>23</v>
      </c>
      <c r="O36" t="s">
        <v>24</v>
      </c>
      <c r="P36" t="s">
        <v>34</v>
      </c>
      <c r="Q36" t="s">
        <v>50</v>
      </c>
    </row>
    <row r="37" spans="1:17" x14ac:dyDescent="0.35">
      <c r="A37">
        <v>48</v>
      </c>
      <c r="B37">
        <v>16</v>
      </c>
      <c r="C37">
        <v>14</v>
      </c>
      <c r="D37">
        <v>8</v>
      </c>
      <c r="E37" s="1">
        <v>46225.958333333343</v>
      </c>
      <c r="F37">
        <v>4</v>
      </c>
      <c r="G37">
        <v>36</v>
      </c>
      <c r="H37" t="s">
        <v>22</v>
      </c>
      <c r="I37" t="s">
        <v>27</v>
      </c>
      <c r="J37">
        <v>9</v>
      </c>
      <c r="K37">
        <v>2026</v>
      </c>
      <c r="L37">
        <v>7</v>
      </c>
      <c r="M37">
        <v>23</v>
      </c>
      <c r="N37" t="s">
        <v>19</v>
      </c>
      <c r="O37" t="s">
        <v>13</v>
      </c>
      <c r="P37" t="s">
        <v>29</v>
      </c>
      <c r="Q37" t="s">
        <v>46</v>
      </c>
    </row>
    <row r="38" spans="1:17" x14ac:dyDescent="0.35">
      <c r="A38">
        <v>49</v>
      </c>
      <c r="B38">
        <v>17</v>
      </c>
      <c r="C38">
        <v>20</v>
      </c>
      <c r="D38">
        <v>3</v>
      </c>
      <c r="E38" s="1">
        <v>46043.854166666657</v>
      </c>
      <c r="F38">
        <v>1</v>
      </c>
      <c r="G38">
        <v>8</v>
      </c>
      <c r="H38" t="s">
        <v>17</v>
      </c>
      <c r="I38" t="s">
        <v>18</v>
      </c>
      <c r="J38">
        <v>8</v>
      </c>
      <c r="K38">
        <v>2026</v>
      </c>
      <c r="L38">
        <v>1</v>
      </c>
      <c r="M38">
        <v>20</v>
      </c>
      <c r="N38" t="s">
        <v>19</v>
      </c>
      <c r="O38" t="s">
        <v>13</v>
      </c>
      <c r="P38" t="s">
        <v>36</v>
      </c>
      <c r="Q38" t="s">
        <v>45</v>
      </c>
    </row>
    <row r="39" spans="1:17" x14ac:dyDescent="0.35">
      <c r="A39">
        <v>50</v>
      </c>
      <c r="B39">
        <v>6</v>
      </c>
      <c r="C39">
        <v>5</v>
      </c>
      <c r="D39">
        <v>9</v>
      </c>
      <c r="E39" s="1">
        <v>46314.854166666657</v>
      </c>
      <c r="F39">
        <v>1</v>
      </c>
      <c r="G39">
        <v>8</v>
      </c>
      <c r="H39" t="s">
        <v>22</v>
      </c>
      <c r="I39" t="s">
        <v>31</v>
      </c>
      <c r="J39">
        <v>8</v>
      </c>
      <c r="K39">
        <v>2026</v>
      </c>
      <c r="L39">
        <v>10</v>
      </c>
      <c r="M39">
        <v>20</v>
      </c>
      <c r="N39" t="s">
        <v>33</v>
      </c>
      <c r="O39" t="s">
        <v>13</v>
      </c>
      <c r="P39" t="s">
        <v>53</v>
      </c>
      <c r="Q39" t="s">
        <v>30</v>
      </c>
    </row>
    <row r="40" spans="1:17" x14ac:dyDescent="0.35">
      <c r="A40">
        <v>51</v>
      </c>
      <c r="B40">
        <v>5</v>
      </c>
      <c r="C40">
        <v>1</v>
      </c>
      <c r="D40">
        <v>1</v>
      </c>
      <c r="E40" s="1">
        <v>46227.645833333343</v>
      </c>
      <c r="F40">
        <v>1</v>
      </c>
      <c r="G40">
        <v>8</v>
      </c>
      <c r="H40" t="s">
        <v>17</v>
      </c>
      <c r="I40" t="s">
        <v>27</v>
      </c>
      <c r="J40">
        <v>8</v>
      </c>
      <c r="K40">
        <v>2026</v>
      </c>
      <c r="L40">
        <v>7</v>
      </c>
      <c r="M40">
        <v>15</v>
      </c>
      <c r="N40" t="s">
        <v>43</v>
      </c>
      <c r="O40" t="s">
        <v>13</v>
      </c>
      <c r="P40" t="s">
        <v>39</v>
      </c>
      <c r="Q40" t="s">
        <v>40</v>
      </c>
    </row>
    <row r="41" spans="1:17" x14ac:dyDescent="0.35">
      <c r="A41">
        <v>52</v>
      </c>
      <c r="B41">
        <v>20</v>
      </c>
      <c r="C41">
        <v>6</v>
      </c>
      <c r="D41">
        <v>7</v>
      </c>
      <c r="E41" s="1">
        <v>46061.916666666657</v>
      </c>
      <c r="F41">
        <v>3</v>
      </c>
      <c r="G41">
        <v>30</v>
      </c>
      <c r="H41" t="s">
        <v>22</v>
      </c>
      <c r="I41" t="s">
        <v>18</v>
      </c>
      <c r="J41">
        <v>10</v>
      </c>
      <c r="K41">
        <v>2026</v>
      </c>
      <c r="L41">
        <v>2</v>
      </c>
      <c r="M41">
        <v>22</v>
      </c>
      <c r="N41" t="s">
        <v>28</v>
      </c>
      <c r="O41" t="s">
        <v>24</v>
      </c>
      <c r="P41" t="s">
        <v>52</v>
      </c>
      <c r="Q41" t="s">
        <v>35</v>
      </c>
    </row>
    <row r="42" spans="1:17" x14ac:dyDescent="0.35">
      <c r="A42">
        <v>53</v>
      </c>
      <c r="B42">
        <v>9</v>
      </c>
      <c r="C42">
        <v>6</v>
      </c>
      <c r="D42">
        <v>9</v>
      </c>
      <c r="E42" s="1">
        <v>46226.791666666657</v>
      </c>
      <c r="F42">
        <v>1</v>
      </c>
      <c r="G42">
        <v>8</v>
      </c>
      <c r="H42" t="s">
        <v>22</v>
      </c>
      <c r="I42" t="s">
        <v>31</v>
      </c>
      <c r="J42">
        <v>8</v>
      </c>
      <c r="K42">
        <v>2026</v>
      </c>
      <c r="L42">
        <v>7</v>
      </c>
      <c r="M42">
        <v>19</v>
      </c>
      <c r="N42" t="s">
        <v>41</v>
      </c>
      <c r="O42" t="s">
        <v>13</v>
      </c>
      <c r="P42" t="s">
        <v>52</v>
      </c>
      <c r="Q42" t="s">
        <v>30</v>
      </c>
    </row>
    <row r="43" spans="1:17" x14ac:dyDescent="0.35">
      <c r="A43">
        <v>54</v>
      </c>
      <c r="B43">
        <v>1</v>
      </c>
      <c r="C43">
        <v>15</v>
      </c>
      <c r="D43">
        <v>1</v>
      </c>
      <c r="E43" s="1">
        <v>46209.833333333343</v>
      </c>
      <c r="F43">
        <v>2</v>
      </c>
      <c r="G43">
        <v>16</v>
      </c>
      <c r="H43" t="s">
        <v>22</v>
      </c>
      <c r="I43" t="s">
        <v>27</v>
      </c>
      <c r="J43">
        <v>8</v>
      </c>
      <c r="K43">
        <v>2026</v>
      </c>
      <c r="L43">
        <v>7</v>
      </c>
      <c r="M43">
        <v>20</v>
      </c>
      <c r="N43" t="s">
        <v>33</v>
      </c>
      <c r="O43" t="s">
        <v>13</v>
      </c>
      <c r="P43" t="s">
        <v>38</v>
      </c>
      <c r="Q43" t="s">
        <v>40</v>
      </c>
    </row>
    <row r="44" spans="1:17" x14ac:dyDescent="0.35">
      <c r="A44">
        <v>55</v>
      </c>
      <c r="B44">
        <v>18</v>
      </c>
      <c r="C44">
        <v>5</v>
      </c>
      <c r="D44">
        <v>4</v>
      </c>
      <c r="E44" s="1">
        <v>46191.875</v>
      </c>
      <c r="F44">
        <v>4</v>
      </c>
      <c r="G44">
        <v>36</v>
      </c>
      <c r="H44" t="s">
        <v>22</v>
      </c>
      <c r="I44" t="s">
        <v>31</v>
      </c>
      <c r="J44">
        <v>9</v>
      </c>
      <c r="K44">
        <v>2026</v>
      </c>
      <c r="L44">
        <v>6</v>
      </c>
      <c r="M44">
        <v>21</v>
      </c>
      <c r="N44" t="s">
        <v>41</v>
      </c>
      <c r="O44" t="s">
        <v>13</v>
      </c>
      <c r="P44" t="s">
        <v>53</v>
      </c>
      <c r="Q44" t="s">
        <v>26</v>
      </c>
    </row>
    <row r="45" spans="1:17" x14ac:dyDescent="0.35">
      <c r="A45">
        <v>56</v>
      </c>
      <c r="B45">
        <v>8</v>
      </c>
      <c r="C45">
        <v>14</v>
      </c>
      <c r="D45">
        <v>2</v>
      </c>
      <c r="E45" s="1">
        <v>46148.708333333343</v>
      </c>
      <c r="F45">
        <v>4</v>
      </c>
      <c r="G45">
        <v>32</v>
      </c>
      <c r="H45" t="s">
        <v>22</v>
      </c>
      <c r="I45" t="s">
        <v>31</v>
      </c>
      <c r="J45">
        <v>8</v>
      </c>
      <c r="K45">
        <v>2026</v>
      </c>
      <c r="L45">
        <v>5</v>
      </c>
      <c r="M45">
        <v>17</v>
      </c>
      <c r="N45" t="s">
        <v>19</v>
      </c>
      <c r="O45" t="s">
        <v>13</v>
      </c>
      <c r="P45" t="s">
        <v>29</v>
      </c>
      <c r="Q45" t="s">
        <v>54</v>
      </c>
    </row>
    <row r="46" spans="1:17" x14ac:dyDescent="0.35">
      <c r="A46">
        <v>57</v>
      </c>
      <c r="B46">
        <v>12</v>
      </c>
      <c r="C46">
        <v>2</v>
      </c>
      <c r="D46">
        <v>4</v>
      </c>
      <c r="E46" s="1">
        <v>46191.604166666657</v>
      </c>
      <c r="F46">
        <v>1</v>
      </c>
      <c r="G46">
        <v>8</v>
      </c>
      <c r="H46" t="s">
        <v>22</v>
      </c>
      <c r="I46" t="s">
        <v>27</v>
      </c>
      <c r="J46">
        <v>8</v>
      </c>
      <c r="K46">
        <v>2026</v>
      </c>
      <c r="L46">
        <v>6</v>
      </c>
      <c r="M46">
        <v>14</v>
      </c>
      <c r="N46" t="s">
        <v>41</v>
      </c>
      <c r="O46" t="s">
        <v>13</v>
      </c>
      <c r="P46" t="s">
        <v>44</v>
      </c>
      <c r="Q46" t="s">
        <v>26</v>
      </c>
    </row>
    <row r="47" spans="1:17" x14ac:dyDescent="0.35">
      <c r="A47">
        <v>58</v>
      </c>
      <c r="B47">
        <v>4</v>
      </c>
      <c r="C47">
        <v>13</v>
      </c>
      <c r="D47">
        <v>6</v>
      </c>
      <c r="E47" s="1">
        <v>46310.604166666657</v>
      </c>
      <c r="F47">
        <v>4</v>
      </c>
      <c r="G47">
        <v>32</v>
      </c>
      <c r="H47" t="s">
        <v>22</v>
      </c>
      <c r="I47" t="s">
        <v>31</v>
      </c>
      <c r="J47">
        <v>8</v>
      </c>
      <c r="K47">
        <v>2026</v>
      </c>
      <c r="L47">
        <v>10</v>
      </c>
      <c r="M47">
        <v>14</v>
      </c>
      <c r="N47" t="s">
        <v>41</v>
      </c>
      <c r="O47" t="s">
        <v>13</v>
      </c>
      <c r="P47" t="s">
        <v>49</v>
      </c>
      <c r="Q47" t="s">
        <v>21</v>
      </c>
    </row>
    <row r="48" spans="1:17" x14ac:dyDescent="0.35">
      <c r="A48">
        <v>59</v>
      </c>
      <c r="B48">
        <v>9</v>
      </c>
      <c r="C48">
        <v>2</v>
      </c>
      <c r="D48">
        <v>2</v>
      </c>
      <c r="E48" s="1">
        <v>46327.770833333343</v>
      </c>
      <c r="F48">
        <v>6</v>
      </c>
      <c r="G48">
        <v>54</v>
      </c>
      <c r="H48" t="s">
        <v>22</v>
      </c>
      <c r="I48" t="s">
        <v>18</v>
      </c>
      <c r="J48">
        <v>9</v>
      </c>
      <c r="K48">
        <v>2026</v>
      </c>
      <c r="L48">
        <v>11</v>
      </c>
      <c r="M48">
        <v>18</v>
      </c>
      <c r="N48" t="s">
        <v>28</v>
      </c>
      <c r="O48" t="s">
        <v>24</v>
      </c>
      <c r="P48" t="s">
        <v>44</v>
      </c>
      <c r="Q48" t="s">
        <v>54</v>
      </c>
    </row>
    <row r="49" spans="1:17" x14ac:dyDescent="0.35">
      <c r="A49">
        <v>60</v>
      </c>
      <c r="B49">
        <v>18</v>
      </c>
      <c r="C49">
        <v>6</v>
      </c>
      <c r="D49">
        <v>10</v>
      </c>
      <c r="E49" s="1">
        <v>46288.729166666657</v>
      </c>
      <c r="F49">
        <v>5</v>
      </c>
      <c r="G49">
        <v>40</v>
      </c>
      <c r="H49" t="s">
        <v>17</v>
      </c>
      <c r="I49" t="s">
        <v>31</v>
      </c>
      <c r="J49">
        <v>8</v>
      </c>
      <c r="K49">
        <v>2026</v>
      </c>
      <c r="L49">
        <v>9</v>
      </c>
      <c r="M49">
        <v>17</v>
      </c>
      <c r="N49" t="s">
        <v>19</v>
      </c>
      <c r="O49" t="s">
        <v>13</v>
      </c>
      <c r="P49" t="s">
        <v>52</v>
      </c>
      <c r="Q49" t="s">
        <v>32</v>
      </c>
    </row>
    <row r="50" spans="1:17" x14ac:dyDescent="0.35">
      <c r="A50">
        <v>61</v>
      </c>
      <c r="B50">
        <v>11</v>
      </c>
      <c r="C50">
        <v>5</v>
      </c>
      <c r="D50">
        <v>1</v>
      </c>
      <c r="E50" s="1">
        <v>46280.854166666657</v>
      </c>
      <c r="F50">
        <v>5</v>
      </c>
      <c r="G50">
        <v>40</v>
      </c>
      <c r="H50" t="s">
        <v>22</v>
      </c>
      <c r="I50" t="s">
        <v>31</v>
      </c>
      <c r="J50">
        <v>8</v>
      </c>
      <c r="K50">
        <v>2026</v>
      </c>
      <c r="L50">
        <v>9</v>
      </c>
      <c r="M50">
        <v>20</v>
      </c>
      <c r="N50" t="s">
        <v>37</v>
      </c>
      <c r="O50" t="s">
        <v>13</v>
      </c>
      <c r="P50" t="s">
        <v>53</v>
      </c>
      <c r="Q50" t="s">
        <v>40</v>
      </c>
    </row>
    <row r="51" spans="1:17" x14ac:dyDescent="0.35">
      <c r="A51">
        <v>62</v>
      </c>
      <c r="B51">
        <v>18</v>
      </c>
      <c r="C51">
        <v>6</v>
      </c>
      <c r="D51">
        <v>4</v>
      </c>
      <c r="E51" s="1">
        <v>46116.708333333343</v>
      </c>
      <c r="F51">
        <v>2</v>
      </c>
      <c r="G51">
        <v>18</v>
      </c>
      <c r="H51" t="s">
        <v>22</v>
      </c>
      <c r="I51" t="s">
        <v>18</v>
      </c>
      <c r="J51">
        <v>9</v>
      </c>
      <c r="K51">
        <v>2026</v>
      </c>
      <c r="L51">
        <v>4</v>
      </c>
      <c r="M51">
        <v>17</v>
      </c>
      <c r="N51" t="s">
        <v>23</v>
      </c>
      <c r="O51" t="s">
        <v>24</v>
      </c>
      <c r="P51" t="s">
        <v>52</v>
      </c>
      <c r="Q51" t="s">
        <v>26</v>
      </c>
    </row>
    <row r="52" spans="1:17" x14ac:dyDescent="0.35">
      <c r="A52">
        <v>63</v>
      </c>
      <c r="B52">
        <v>18</v>
      </c>
      <c r="C52">
        <v>4</v>
      </c>
      <c r="D52">
        <v>1</v>
      </c>
      <c r="E52" s="1">
        <v>46353.791666666657</v>
      </c>
      <c r="F52">
        <v>2</v>
      </c>
      <c r="G52">
        <v>16</v>
      </c>
      <c r="H52" t="s">
        <v>22</v>
      </c>
      <c r="I52" t="s">
        <v>18</v>
      </c>
      <c r="J52">
        <v>8</v>
      </c>
      <c r="K52">
        <v>2026</v>
      </c>
      <c r="L52">
        <v>11</v>
      </c>
      <c r="M52">
        <v>19</v>
      </c>
      <c r="N52" t="s">
        <v>43</v>
      </c>
      <c r="O52" t="s">
        <v>13</v>
      </c>
      <c r="P52" t="s">
        <v>55</v>
      </c>
      <c r="Q52" t="s">
        <v>40</v>
      </c>
    </row>
    <row r="53" spans="1:17" x14ac:dyDescent="0.35">
      <c r="A53">
        <v>64</v>
      </c>
      <c r="B53">
        <v>8</v>
      </c>
      <c r="C53">
        <v>2</v>
      </c>
      <c r="D53">
        <v>10</v>
      </c>
      <c r="E53" s="1">
        <v>46331.729166666657</v>
      </c>
      <c r="F53">
        <v>5</v>
      </c>
      <c r="G53">
        <v>40</v>
      </c>
      <c r="H53" t="s">
        <v>17</v>
      </c>
      <c r="I53" t="s">
        <v>31</v>
      </c>
      <c r="J53">
        <v>8</v>
      </c>
      <c r="K53">
        <v>2026</v>
      </c>
      <c r="L53">
        <v>11</v>
      </c>
      <c r="M53">
        <v>17</v>
      </c>
      <c r="N53" t="s">
        <v>41</v>
      </c>
      <c r="O53" t="s">
        <v>13</v>
      </c>
      <c r="P53" t="s">
        <v>44</v>
      </c>
      <c r="Q53" t="s">
        <v>32</v>
      </c>
    </row>
    <row r="54" spans="1:17" x14ac:dyDescent="0.35">
      <c r="A54">
        <v>65</v>
      </c>
      <c r="B54">
        <v>1</v>
      </c>
      <c r="C54">
        <v>13</v>
      </c>
      <c r="D54">
        <v>3</v>
      </c>
      <c r="E54" s="1">
        <v>46051.895833333343</v>
      </c>
      <c r="F54">
        <v>1</v>
      </c>
      <c r="G54">
        <v>9</v>
      </c>
      <c r="H54" t="s">
        <v>22</v>
      </c>
      <c r="I54" t="s">
        <v>31</v>
      </c>
      <c r="J54">
        <v>9</v>
      </c>
      <c r="K54">
        <v>2026</v>
      </c>
      <c r="L54">
        <v>1</v>
      </c>
      <c r="M54">
        <v>21</v>
      </c>
      <c r="N54" t="s">
        <v>41</v>
      </c>
      <c r="O54" t="s">
        <v>13</v>
      </c>
      <c r="P54" t="s">
        <v>49</v>
      </c>
      <c r="Q54" t="s">
        <v>45</v>
      </c>
    </row>
    <row r="55" spans="1:17" x14ac:dyDescent="0.35">
      <c r="A55">
        <v>66</v>
      </c>
      <c r="B55">
        <v>4</v>
      </c>
      <c r="C55">
        <v>15</v>
      </c>
      <c r="D55">
        <v>6</v>
      </c>
      <c r="E55" s="1">
        <v>46059.875</v>
      </c>
      <c r="F55">
        <v>4</v>
      </c>
      <c r="G55">
        <v>36</v>
      </c>
      <c r="H55" t="s">
        <v>22</v>
      </c>
      <c r="I55" t="s">
        <v>18</v>
      </c>
      <c r="J55">
        <v>9</v>
      </c>
      <c r="K55">
        <v>2026</v>
      </c>
      <c r="L55">
        <v>2</v>
      </c>
      <c r="M55">
        <v>21</v>
      </c>
      <c r="N55" t="s">
        <v>43</v>
      </c>
      <c r="O55" t="s">
        <v>13</v>
      </c>
      <c r="P55" t="s">
        <v>38</v>
      </c>
      <c r="Q55" t="s">
        <v>21</v>
      </c>
    </row>
    <row r="56" spans="1:17" x14ac:dyDescent="0.35">
      <c r="A56">
        <v>67</v>
      </c>
      <c r="B56">
        <v>12</v>
      </c>
      <c r="C56">
        <v>2</v>
      </c>
      <c r="D56">
        <v>5</v>
      </c>
      <c r="E56" s="1">
        <v>46025.6875</v>
      </c>
      <c r="F56">
        <v>3</v>
      </c>
      <c r="G56">
        <v>27</v>
      </c>
      <c r="H56" t="s">
        <v>22</v>
      </c>
      <c r="I56" t="s">
        <v>27</v>
      </c>
      <c r="J56">
        <v>9</v>
      </c>
      <c r="K56">
        <v>2026</v>
      </c>
      <c r="L56">
        <v>1</v>
      </c>
      <c r="M56">
        <v>16</v>
      </c>
      <c r="N56" t="s">
        <v>23</v>
      </c>
      <c r="O56" t="s">
        <v>24</v>
      </c>
      <c r="P56" t="s">
        <v>44</v>
      </c>
      <c r="Q56" t="s">
        <v>50</v>
      </c>
    </row>
    <row r="57" spans="1:17" x14ac:dyDescent="0.35">
      <c r="A57">
        <v>68</v>
      </c>
      <c r="B57">
        <v>10</v>
      </c>
      <c r="C57">
        <v>3</v>
      </c>
      <c r="D57">
        <v>4</v>
      </c>
      <c r="E57" s="1">
        <v>46117.875</v>
      </c>
      <c r="F57">
        <v>2</v>
      </c>
      <c r="G57">
        <v>20</v>
      </c>
      <c r="H57" t="s">
        <v>22</v>
      </c>
      <c r="I57" t="s">
        <v>27</v>
      </c>
      <c r="J57">
        <v>10</v>
      </c>
      <c r="K57">
        <v>2026</v>
      </c>
      <c r="L57">
        <v>4</v>
      </c>
      <c r="M57">
        <v>21</v>
      </c>
      <c r="N57" t="s">
        <v>28</v>
      </c>
      <c r="O57" t="s">
        <v>24</v>
      </c>
      <c r="P57" t="s">
        <v>20</v>
      </c>
      <c r="Q57" t="s">
        <v>26</v>
      </c>
    </row>
    <row r="58" spans="1:17" x14ac:dyDescent="0.35">
      <c r="A58">
        <v>69</v>
      </c>
      <c r="B58">
        <v>11</v>
      </c>
      <c r="C58">
        <v>1</v>
      </c>
      <c r="D58">
        <v>10</v>
      </c>
      <c r="E58" s="1">
        <v>46215.645833333343</v>
      </c>
      <c r="F58">
        <v>1</v>
      </c>
      <c r="G58">
        <v>9</v>
      </c>
      <c r="H58" t="s">
        <v>22</v>
      </c>
      <c r="I58" t="s">
        <v>27</v>
      </c>
      <c r="J58">
        <v>9</v>
      </c>
      <c r="K58">
        <v>2026</v>
      </c>
      <c r="L58">
        <v>7</v>
      </c>
      <c r="M58">
        <v>15</v>
      </c>
      <c r="N58" t="s">
        <v>28</v>
      </c>
      <c r="O58" t="s">
        <v>24</v>
      </c>
      <c r="P58" t="s">
        <v>39</v>
      </c>
      <c r="Q58" t="s">
        <v>32</v>
      </c>
    </row>
    <row r="59" spans="1:17" x14ac:dyDescent="0.35">
      <c r="A59">
        <v>70</v>
      </c>
      <c r="B59">
        <v>4</v>
      </c>
      <c r="C59">
        <v>18</v>
      </c>
      <c r="D59">
        <v>4</v>
      </c>
      <c r="E59" s="1">
        <v>46085.958333333343</v>
      </c>
      <c r="F59">
        <v>2</v>
      </c>
      <c r="G59">
        <v>18</v>
      </c>
      <c r="H59" t="s">
        <v>22</v>
      </c>
      <c r="I59" t="s">
        <v>27</v>
      </c>
      <c r="J59">
        <v>9</v>
      </c>
      <c r="K59">
        <v>2026</v>
      </c>
      <c r="L59">
        <v>3</v>
      </c>
      <c r="M59">
        <v>23</v>
      </c>
      <c r="N59" t="s">
        <v>19</v>
      </c>
      <c r="O59" t="s">
        <v>13</v>
      </c>
      <c r="P59" t="s">
        <v>47</v>
      </c>
      <c r="Q59" t="s">
        <v>26</v>
      </c>
    </row>
    <row r="60" spans="1:17" x14ac:dyDescent="0.35">
      <c r="A60">
        <v>71</v>
      </c>
      <c r="B60">
        <v>20</v>
      </c>
      <c r="C60">
        <v>14</v>
      </c>
      <c r="D60">
        <v>4</v>
      </c>
      <c r="E60" s="1">
        <v>46254.604166666657</v>
      </c>
      <c r="F60">
        <v>2</v>
      </c>
      <c r="G60">
        <v>16</v>
      </c>
      <c r="H60" t="s">
        <v>22</v>
      </c>
      <c r="I60" t="s">
        <v>31</v>
      </c>
      <c r="J60">
        <v>8</v>
      </c>
      <c r="K60">
        <v>2026</v>
      </c>
      <c r="L60">
        <v>8</v>
      </c>
      <c r="M60">
        <v>14</v>
      </c>
      <c r="N60" t="s">
        <v>41</v>
      </c>
      <c r="O60" t="s">
        <v>13</v>
      </c>
      <c r="P60" t="s">
        <v>29</v>
      </c>
      <c r="Q60" t="s">
        <v>26</v>
      </c>
    </row>
    <row r="61" spans="1:17" x14ac:dyDescent="0.35">
      <c r="A61">
        <v>72</v>
      </c>
      <c r="B61">
        <v>5</v>
      </c>
      <c r="C61">
        <v>14</v>
      </c>
      <c r="D61">
        <v>10</v>
      </c>
      <c r="E61" s="1">
        <v>46224.75</v>
      </c>
      <c r="F61">
        <v>1</v>
      </c>
      <c r="G61">
        <v>8</v>
      </c>
      <c r="H61" t="s">
        <v>22</v>
      </c>
      <c r="I61" t="s">
        <v>31</v>
      </c>
      <c r="J61">
        <v>8</v>
      </c>
      <c r="K61">
        <v>2026</v>
      </c>
      <c r="L61">
        <v>7</v>
      </c>
      <c r="M61">
        <v>18</v>
      </c>
      <c r="N61" t="s">
        <v>37</v>
      </c>
      <c r="O61" t="s">
        <v>13</v>
      </c>
      <c r="P61" t="s">
        <v>29</v>
      </c>
      <c r="Q61" t="s">
        <v>32</v>
      </c>
    </row>
    <row r="62" spans="1:17" x14ac:dyDescent="0.35">
      <c r="A62">
        <v>73</v>
      </c>
      <c r="B62">
        <v>4</v>
      </c>
      <c r="C62">
        <v>4</v>
      </c>
      <c r="D62">
        <v>10</v>
      </c>
      <c r="E62" s="1">
        <v>46024.770833333343</v>
      </c>
      <c r="F62">
        <v>6</v>
      </c>
      <c r="G62">
        <v>48</v>
      </c>
      <c r="H62" t="s">
        <v>22</v>
      </c>
      <c r="I62" t="s">
        <v>31</v>
      </c>
      <c r="J62">
        <v>8</v>
      </c>
      <c r="K62">
        <v>2026</v>
      </c>
      <c r="L62">
        <v>1</v>
      </c>
      <c r="M62">
        <v>18</v>
      </c>
      <c r="N62" t="s">
        <v>43</v>
      </c>
      <c r="O62" t="s">
        <v>13</v>
      </c>
      <c r="P62" t="s">
        <v>55</v>
      </c>
      <c r="Q62" t="s">
        <v>32</v>
      </c>
    </row>
    <row r="63" spans="1:17" x14ac:dyDescent="0.35">
      <c r="A63">
        <v>74</v>
      </c>
      <c r="B63">
        <v>11</v>
      </c>
      <c r="C63">
        <v>17</v>
      </c>
      <c r="D63">
        <v>10</v>
      </c>
      <c r="E63" s="1">
        <v>46309.979166666657</v>
      </c>
      <c r="F63">
        <v>2</v>
      </c>
      <c r="G63">
        <v>18</v>
      </c>
      <c r="H63" t="s">
        <v>22</v>
      </c>
      <c r="I63" t="s">
        <v>27</v>
      </c>
      <c r="J63">
        <v>9</v>
      </c>
      <c r="K63">
        <v>2026</v>
      </c>
      <c r="L63">
        <v>10</v>
      </c>
      <c r="M63">
        <v>23</v>
      </c>
      <c r="N63" t="s">
        <v>19</v>
      </c>
      <c r="O63" t="s">
        <v>13</v>
      </c>
      <c r="P63" t="s">
        <v>56</v>
      </c>
      <c r="Q63" t="s">
        <v>32</v>
      </c>
    </row>
    <row r="64" spans="1:17" x14ac:dyDescent="0.35">
      <c r="A64">
        <v>75</v>
      </c>
      <c r="B64">
        <v>5</v>
      </c>
      <c r="C64">
        <v>12</v>
      </c>
      <c r="D64">
        <v>3</v>
      </c>
      <c r="E64" s="1">
        <v>46126.979166666657</v>
      </c>
      <c r="F64">
        <v>3</v>
      </c>
      <c r="G64">
        <v>27</v>
      </c>
      <c r="H64" t="s">
        <v>22</v>
      </c>
      <c r="I64" t="s">
        <v>27</v>
      </c>
      <c r="J64">
        <v>9</v>
      </c>
      <c r="K64">
        <v>2026</v>
      </c>
      <c r="L64">
        <v>4</v>
      </c>
      <c r="M64">
        <v>23</v>
      </c>
      <c r="N64" t="s">
        <v>37</v>
      </c>
      <c r="O64" t="s">
        <v>13</v>
      </c>
      <c r="P64" t="s">
        <v>57</v>
      </c>
      <c r="Q64" t="s">
        <v>45</v>
      </c>
    </row>
    <row r="65" spans="1:17" x14ac:dyDescent="0.35">
      <c r="A65">
        <v>76</v>
      </c>
      <c r="B65">
        <v>12</v>
      </c>
      <c r="C65">
        <v>8</v>
      </c>
      <c r="D65">
        <v>9</v>
      </c>
      <c r="E65" s="1">
        <v>46060.666666666657</v>
      </c>
      <c r="F65">
        <v>4</v>
      </c>
      <c r="G65">
        <v>36</v>
      </c>
      <c r="H65" t="s">
        <v>22</v>
      </c>
      <c r="I65" t="s">
        <v>18</v>
      </c>
      <c r="J65">
        <v>9</v>
      </c>
      <c r="K65">
        <v>2026</v>
      </c>
      <c r="L65">
        <v>2</v>
      </c>
      <c r="M65">
        <v>16</v>
      </c>
      <c r="N65" t="s">
        <v>23</v>
      </c>
      <c r="O65" t="s">
        <v>24</v>
      </c>
      <c r="P65" t="s">
        <v>42</v>
      </c>
      <c r="Q65" t="s">
        <v>30</v>
      </c>
    </row>
    <row r="66" spans="1:17" x14ac:dyDescent="0.35">
      <c r="A66">
        <v>77</v>
      </c>
      <c r="B66">
        <v>1</v>
      </c>
      <c r="C66">
        <v>9</v>
      </c>
      <c r="D66">
        <v>1</v>
      </c>
      <c r="E66" s="1">
        <v>46253.916666666657</v>
      </c>
      <c r="F66">
        <v>4</v>
      </c>
      <c r="G66">
        <v>36</v>
      </c>
      <c r="H66" t="s">
        <v>22</v>
      </c>
      <c r="I66" t="s">
        <v>18</v>
      </c>
      <c r="J66">
        <v>9</v>
      </c>
      <c r="K66">
        <v>2026</v>
      </c>
      <c r="L66">
        <v>8</v>
      </c>
      <c r="M66">
        <v>22</v>
      </c>
      <c r="N66" t="s">
        <v>19</v>
      </c>
      <c r="O66" t="s">
        <v>13</v>
      </c>
      <c r="P66" t="s">
        <v>48</v>
      </c>
      <c r="Q66" t="s">
        <v>40</v>
      </c>
    </row>
    <row r="67" spans="1:17" x14ac:dyDescent="0.35">
      <c r="A67">
        <v>78</v>
      </c>
      <c r="B67">
        <v>15</v>
      </c>
      <c r="C67">
        <v>8</v>
      </c>
      <c r="D67">
        <v>2</v>
      </c>
      <c r="E67" s="1">
        <v>46169.625</v>
      </c>
      <c r="F67">
        <v>1</v>
      </c>
      <c r="G67">
        <v>8</v>
      </c>
      <c r="H67" t="s">
        <v>22</v>
      </c>
      <c r="I67" t="s">
        <v>18</v>
      </c>
      <c r="J67">
        <v>8</v>
      </c>
      <c r="K67">
        <v>2026</v>
      </c>
      <c r="L67">
        <v>5</v>
      </c>
      <c r="M67">
        <v>15</v>
      </c>
      <c r="N67" t="s">
        <v>19</v>
      </c>
      <c r="O67" t="s">
        <v>13</v>
      </c>
      <c r="P67" t="s">
        <v>42</v>
      </c>
      <c r="Q67" t="s">
        <v>54</v>
      </c>
    </row>
    <row r="68" spans="1:17" x14ac:dyDescent="0.35">
      <c r="A68">
        <v>79</v>
      </c>
      <c r="B68">
        <v>6</v>
      </c>
      <c r="C68">
        <v>4</v>
      </c>
      <c r="D68">
        <v>8</v>
      </c>
      <c r="E68" s="1">
        <v>46107.916666666657</v>
      </c>
      <c r="F68">
        <v>2</v>
      </c>
      <c r="G68">
        <v>18</v>
      </c>
      <c r="H68" t="s">
        <v>22</v>
      </c>
      <c r="I68" t="s">
        <v>18</v>
      </c>
      <c r="J68">
        <v>9</v>
      </c>
      <c r="K68">
        <v>2026</v>
      </c>
      <c r="L68">
        <v>3</v>
      </c>
      <c r="M68">
        <v>22</v>
      </c>
      <c r="N68" t="s">
        <v>41</v>
      </c>
      <c r="O68" t="s">
        <v>13</v>
      </c>
      <c r="P68" t="s">
        <v>55</v>
      </c>
      <c r="Q68" t="s">
        <v>46</v>
      </c>
    </row>
    <row r="69" spans="1:17" x14ac:dyDescent="0.35">
      <c r="A69">
        <v>80</v>
      </c>
      <c r="B69">
        <v>4</v>
      </c>
      <c r="C69">
        <v>3</v>
      </c>
      <c r="D69">
        <v>2</v>
      </c>
      <c r="E69" s="1">
        <v>46038.791666666657</v>
      </c>
      <c r="F69">
        <v>1</v>
      </c>
      <c r="G69">
        <v>8</v>
      </c>
      <c r="H69" t="s">
        <v>22</v>
      </c>
      <c r="I69" t="s">
        <v>18</v>
      </c>
      <c r="J69">
        <v>8</v>
      </c>
      <c r="K69">
        <v>2026</v>
      </c>
      <c r="L69">
        <v>1</v>
      </c>
      <c r="M69">
        <v>19</v>
      </c>
      <c r="N69" t="s">
        <v>43</v>
      </c>
      <c r="O69" t="s">
        <v>13</v>
      </c>
      <c r="P69" t="s">
        <v>20</v>
      </c>
      <c r="Q69" t="s">
        <v>54</v>
      </c>
    </row>
    <row r="70" spans="1:17" x14ac:dyDescent="0.35">
      <c r="A70">
        <v>81</v>
      </c>
      <c r="B70">
        <v>13</v>
      </c>
      <c r="C70">
        <v>15</v>
      </c>
      <c r="D70">
        <v>4</v>
      </c>
      <c r="E70" s="1">
        <v>46164.604166666657</v>
      </c>
      <c r="F70">
        <v>5</v>
      </c>
      <c r="G70">
        <v>40</v>
      </c>
      <c r="H70" t="s">
        <v>22</v>
      </c>
      <c r="I70" t="s">
        <v>27</v>
      </c>
      <c r="J70">
        <v>8</v>
      </c>
      <c r="K70">
        <v>2026</v>
      </c>
      <c r="L70">
        <v>5</v>
      </c>
      <c r="M70">
        <v>14</v>
      </c>
      <c r="N70" t="s">
        <v>43</v>
      </c>
      <c r="O70" t="s">
        <v>13</v>
      </c>
      <c r="P70" t="s">
        <v>38</v>
      </c>
      <c r="Q70" t="s">
        <v>26</v>
      </c>
    </row>
    <row r="71" spans="1:17" x14ac:dyDescent="0.35">
      <c r="A71">
        <v>82</v>
      </c>
      <c r="B71">
        <v>17</v>
      </c>
      <c r="C71">
        <v>17</v>
      </c>
      <c r="D71">
        <v>5</v>
      </c>
      <c r="E71" s="1">
        <v>46379.833333333343</v>
      </c>
      <c r="F71">
        <v>2</v>
      </c>
      <c r="G71">
        <v>16</v>
      </c>
      <c r="H71" t="s">
        <v>22</v>
      </c>
      <c r="I71" t="s">
        <v>31</v>
      </c>
      <c r="J71">
        <v>8</v>
      </c>
      <c r="K71">
        <v>2026</v>
      </c>
      <c r="L71">
        <v>12</v>
      </c>
      <c r="M71">
        <v>20</v>
      </c>
      <c r="N71" t="s">
        <v>19</v>
      </c>
      <c r="O71" t="s">
        <v>13</v>
      </c>
      <c r="P71" t="s">
        <v>56</v>
      </c>
      <c r="Q71" t="s">
        <v>50</v>
      </c>
    </row>
    <row r="72" spans="1:17" x14ac:dyDescent="0.35">
      <c r="A72">
        <v>83</v>
      </c>
      <c r="B72">
        <v>18</v>
      </c>
      <c r="C72">
        <v>10</v>
      </c>
      <c r="D72">
        <v>8</v>
      </c>
      <c r="E72" s="1">
        <v>46295.916666666657</v>
      </c>
      <c r="F72">
        <v>4</v>
      </c>
      <c r="G72">
        <v>36</v>
      </c>
      <c r="H72" t="s">
        <v>22</v>
      </c>
      <c r="I72" t="s">
        <v>27</v>
      </c>
      <c r="J72">
        <v>9</v>
      </c>
      <c r="K72">
        <v>2026</v>
      </c>
      <c r="L72">
        <v>9</v>
      </c>
      <c r="M72">
        <v>22</v>
      </c>
      <c r="N72" t="s">
        <v>19</v>
      </c>
      <c r="O72" t="s">
        <v>13</v>
      </c>
      <c r="P72" t="s">
        <v>25</v>
      </c>
      <c r="Q72" t="s">
        <v>46</v>
      </c>
    </row>
    <row r="73" spans="1:17" x14ac:dyDescent="0.35">
      <c r="A73">
        <v>84</v>
      </c>
      <c r="B73">
        <v>3</v>
      </c>
      <c r="C73">
        <v>13</v>
      </c>
      <c r="D73">
        <v>10</v>
      </c>
      <c r="E73" s="1">
        <v>46380.645833333343</v>
      </c>
      <c r="F73">
        <v>4</v>
      </c>
      <c r="G73">
        <v>32</v>
      </c>
      <c r="H73" t="s">
        <v>22</v>
      </c>
      <c r="I73" t="s">
        <v>27</v>
      </c>
      <c r="J73">
        <v>8</v>
      </c>
      <c r="K73">
        <v>2026</v>
      </c>
      <c r="L73">
        <v>12</v>
      </c>
      <c r="M73">
        <v>15</v>
      </c>
      <c r="N73" t="s">
        <v>41</v>
      </c>
      <c r="O73" t="s">
        <v>13</v>
      </c>
      <c r="P73" t="s">
        <v>49</v>
      </c>
      <c r="Q73" t="s">
        <v>32</v>
      </c>
    </row>
    <row r="74" spans="1:17" x14ac:dyDescent="0.35">
      <c r="A74">
        <v>85</v>
      </c>
      <c r="B74">
        <v>1</v>
      </c>
      <c r="C74">
        <v>7</v>
      </c>
      <c r="D74">
        <v>7</v>
      </c>
      <c r="E74" s="1">
        <v>46228.625</v>
      </c>
      <c r="F74">
        <v>5</v>
      </c>
      <c r="G74">
        <v>45</v>
      </c>
      <c r="H74" t="s">
        <v>17</v>
      </c>
      <c r="I74" t="s">
        <v>31</v>
      </c>
      <c r="J74">
        <v>9</v>
      </c>
      <c r="K74">
        <v>2026</v>
      </c>
      <c r="L74">
        <v>7</v>
      </c>
      <c r="M74">
        <v>15</v>
      </c>
      <c r="N74" t="s">
        <v>23</v>
      </c>
      <c r="O74" t="s">
        <v>24</v>
      </c>
      <c r="P74" t="s">
        <v>34</v>
      </c>
      <c r="Q74" t="s">
        <v>35</v>
      </c>
    </row>
    <row r="75" spans="1:17" x14ac:dyDescent="0.35">
      <c r="A75">
        <v>86</v>
      </c>
      <c r="B75">
        <v>8</v>
      </c>
      <c r="C75">
        <v>4</v>
      </c>
      <c r="D75">
        <v>8</v>
      </c>
      <c r="E75" s="1">
        <v>46191.75</v>
      </c>
      <c r="F75">
        <v>5</v>
      </c>
      <c r="G75">
        <v>40</v>
      </c>
      <c r="H75" t="s">
        <v>22</v>
      </c>
      <c r="I75" t="s">
        <v>18</v>
      </c>
      <c r="J75">
        <v>8</v>
      </c>
      <c r="K75">
        <v>2026</v>
      </c>
      <c r="L75">
        <v>6</v>
      </c>
      <c r="M75">
        <v>18</v>
      </c>
      <c r="N75" t="s">
        <v>41</v>
      </c>
      <c r="O75" t="s">
        <v>13</v>
      </c>
      <c r="P75" t="s">
        <v>55</v>
      </c>
      <c r="Q75" t="s">
        <v>46</v>
      </c>
    </row>
    <row r="76" spans="1:17" x14ac:dyDescent="0.35">
      <c r="A76">
        <v>87</v>
      </c>
      <c r="B76">
        <v>9</v>
      </c>
      <c r="C76">
        <v>16</v>
      </c>
      <c r="D76">
        <v>3</v>
      </c>
      <c r="E76" s="1">
        <v>46273.708333333343</v>
      </c>
      <c r="F76">
        <v>6</v>
      </c>
      <c r="G76">
        <v>48</v>
      </c>
      <c r="H76" t="s">
        <v>22</v>
      </c>
      <c r="I76" t="s">
        <v>31</v>
      </c>
      <c r="J76">
        <v>8</v>
      </c>
      <c r="K76">
        <v>2026</v>
      </c>
      <c r="L76">
        <v>9</v>
      </c>
      <c r="M76">
        <v>17</v>
      </c>
      <c r="N76" t="s">
        <v>37</v>
      </c>
      <c r="O76" t="s">
        <v>13</v>
      </c>
      <c r="P76" t="s">
        <v>51</v>
      </c>
      <c r="Q76" t="s">
        <v>45</v>
      </c>
    </row>
    <row r="77" spans="1:17" x14ac:dyDescent="0.35">
      <c r="A77">
        <v>88</v>
      </c>
      <c r="B77">
        <v>14</v>
      </c>
      <c r="C77">
        <v>20</v>
      </c>
      <c r="D77">
        <v>8</v>
      </c>
      <c r="E77" s="1">
        <v>46208.875</v>
      </c>
      <c r="F77">
        <v>3</v>
      </c>
      <c r="G77">
        <v>30</v>
      </c>
      <c r="H77" t="s">
        <v>22</v>
      </c>
      <c r="I77" t="s">
        <v>31</v>
      </c>
      <c r="J77">
        <v>10</v>
      </c>
      <c r="K77">
        <v>2026</v>
      </c>
      <c r="L77">
        <v>7</v>
      </c>
      <c r="M77">
        <v>21</v>
      </c>
      <c r="N77" t="s">
        <v>28</v>
      </c>
      <c r="O77" t="s">
        <v>24</v>
      </c>
      <c r="P77" t="s">
        <v>36</v>
      </c>
      <c r="Q77" t="s">
        <v>46</v>
      </c>
    </row>
    <row r="78" spans="1:17" x14ac:dyDescent="0.35">
      <c r="A78">
        <v>89</v>
      </c>
      <c r="B78">
        <v>16</v>
      </c>
      <c r="C78">
        <v>19</v>
      </c>
      <c r="D78">
        <v>9</v>
      </c>
      <c r="E78" s="1">
        <v>46299.895833333343</v>
      </c>
      <c r="F78">
        <v>3</v>
      </c>
      <c r="G78">
        <v>30</v>
      </c>
      <c r="H78" t="s">
        <v>22</v>
      </c>
      <c r="I78" t="s">
        <v>31</v>
      </c>
      <c r="J78">
        <v>10</v>
      </c>
      <c r="K78">
        <v>2026</v>
      </c>
      <c r="L78">
        <v>10</v>
      </c>
      <c r="M78">
        <v>21</v>
      </c>
      <c r="N78" t="s">
        <v>28</v>
      </c>
      <c r="O78" t="s">
        <v>24</v>
      </c>
      <c r="P78" t="s">
        <v>58</v>
      </c>
      <c r="Q78" t="s">
        <v>30</v>
      </c>
    </row>
    <row r="79" spans="1:17" x14ac:dyDescent="0.35">
      <c r="A79">
        <v>90</v>
      </c>
      <c r="B79">
        <v>17</v>
      </c>
      <c r="C79">
        <v>11</v>
      </c>
      <c r="D79">
        <v>7</v>
      </c>
      <c r="E79" s="1">
        <v>46136.916666666657</v>
      </c>
      <c r="F79">
        <v>6</v>
      </c>
      <c r="G79">
        <v>54</v>
      </c>
      <c r="H79" t="s">
        <v>22</v>
      </c>
      <c r="I79" t="s">
        <v>27</v>
      </c>
      <c r="J79">
        <v>9</v>
      </c>
      <c r="K79">
        <v>2026</v>
      </c>
      <c r="L79">
        <v>4</v>
      </c>
      <c r="M79">
        <v>22</v>
      </c>
      <c r="N79" t="s">
        <v>43</v>
      </c>
      <c r="O79" t="s">
        <v>13</v>
      </c>
      <c r="P79" t="s">
        <v>59</v>
      </c>
      <c r="Q79" t="s">
        <v>35</v>
      </c>
    </row>
    <row r="80" spans="1:17" x14ac:dyDescent="0.35">
      <c r="A80">
        <v>91</v>
      </c>
      <c r="B80">
        <v>18</v>
      </c>
      <c r="C80">
        <v>10</v>
      </c>
      <c r="D80">
        <v>5</v>
      </c>
      <c r="E80" s="1">
        <v>46304.8125</v>
      </c>
      <c r="F80">
        <v>4</v>
      </c>
      <c r="G80">
        <v>32</v>
      </c>
      <c r="H80" t="s">
        <v>22</v>
      </c>
      <c r="I80" t="s">
        <v>18</v>
      </c>
      <c r="J80">
        <v>8</v>
      </c>
      <c r="K80">
        <v>2026</v>
      </c>
      <c r="L80">
        <v>10</v>
      </c>
      <c r="M80">
        <v>19</v>
      </c>
      <c r="N80" t="s">
        <v>43</v>
      </c>
      <c r="O80" t="s">
        <v>13</v>
      </c>
      <c r="P80" t="s">
        <v>25</v>
      </c>
      <c r="Q80" t="s">
        <v>50</v>
      </c>
    </row>
    <row r="81" spans="1:17" x14ac:dyDescent="0.35">
      <c r="A81">
        <v>92</v>
      </c>
      <c r="B81">
        <v>11</v>
      </c>
      <c r="C81">
        <v>2</v>
      </c>
      <c r="D81">
        <v>9</v>
      </c>
      <c r="E81" s="1">
        <v>46254.979166666657</v>
      </c>
      <c r="F81">
        <v>1</v>
      </c>
      <c r="G81">
        <v>9</v>
      </c>
      <c r="H81" t="s">
        <v>22</v>
      </c>
      <c r="I81" t="s">
        <v>18</v>
      </c>
      <c r="J81">
        <v>9</v>
      </c>
      <c r="K81">
        <v>2026</v>
      </c>
      <c r="L81">
        <v>8</v>
      </c>
      <c r="M81">
        <v>23</v>
      </c>
      <c r="N81" t="s">
        <v>41</v>
      </c>
      <c r="O81" t="s">
        <v>13</v>
      </c>
      <c r="P81" t="s">
        <v>44</v>
      </c>
      <c r="Q81" t="s">
        <v>30</v>
      </c>
    </row>
    <row r="82" spans="1:17" x14ac:dyDescent="0.35">
      <c r="A82">
        <v>93</v>
      </c>
      <c r="B82">
        <v>16</v>
      </c>
      <c r="C82">
        <v>14</v>
      </c>
      <c r="D82">
        <v>3</v>
      </c>
      <c r="E82" s="1">
        <v>46255.895833333343</v>
      </c>
      <c r="F82">
        <v>1</v>
      </c>
      <c r="G82">
        <v>9</v>
      </c>
      <c r="H82" t="s">
        <v>17</v>
      </c>
      <c r="I82" t="s">
        <v>31</v>
      </c>
      <c r="J82">
        <v>9</v>
      </c>
      <c r="K82">
        <v>2026</v>
      </c>
      <c r="L82">
        <v>8</v>
      </c>
      <c r="M82">
        <v>21</v>
      </c>
      <c r="N82" t="s">
        <v>43</v>
      </c>
      <c r="O82" t="s">
        <v>13</v>
      </c>
      <c r="P82" t="s">
        <v>29</v>
      </c>
      <c r="Q82" t="s">
        <v>45</v>
      </c>
    </row>
    <row r="83" spans="1:17" x14ac:dyDescent="0.35">
      <c r="A83">
        <v>94</v>
      </c>
      <c r="B83">
        <v>5</v>
      </c>
      <c r="C83">
        <v>9</v>
      </c>
      <c r="D83">
        <v>3</v>
      </c>
      <c r="E83" s="1">
        <v>46245.875</v>
      </c>
      <c r="F83">
        <v>3</v>
      </c>
      <c r="G83">
        <v>27</v>
      </c>
      <c r="H83" t="s">
        <v>22</v>
      </c>
      <c r="I83" t="s">
        <v>27</v>
      </c>
      <c r="J83">
        <v>9</v>
      </c>
      <c r="K83">
        <v>2026</v>
      </c>
      <c r="L83">
        <v>8</v>
      </c>
      <c r="M83">
        <v>21</v>
      </c>
      <c r="N83" t="s">
        <v>37</v>
      </c>
      <c r="O83" t="s">
        <v>13</v>
      </c>
      <c r="P83" t="s">
        <v>48</v>
      </c>
      <c r="Q83" t="s">
        <v>45</v>
      </c>
    </row>
    <row r="84" spans="1:17" x14ac:dyDescent="0.35">
      <c r="A84">
        <v>95</v>
      </c>
      <c r="B84">
        <v>20</v>
      </c>
      <c r="C84">
        <v>3</v>
      </c>
      <c r="D84">
        <v>5</v>
      </c>
      <c r="E84" s="1">
        <v>46239.895833333343</v>
      </c>
      <c r="F84">
        <v>3</v>
      </c>
      <c r="G84">
        <v>27</v>
      </c>
      <c r="H84" t="s">
        <v>22</v>
      </c>
      <c r="I84" t="s">
        <v>27</v>
      </c>
      <c r="J84">
        <v>9</v>
      </c>
      <c r="K84">
        <v>2026</v>
      </c>
      <c r="L84">
        <v>8</v>
      </c>
      <c r="M84">
        <v>21</v>
      </c>
      <c r="N84" t="s">
        <v>19</v>
      </c>
      <c r="O84" t="s">
        <v>13</v>
      </c>
      <c r="P84" t="s">
        <v>20</v>
      </c>
      <c r="Q84" t="s">
        <v>50</v>
      </c>
    </row>
    <row r="85" spans="1:17" x14ac:dyDescent="0.35">
      <c r="A85">
        <v>96</v>
      </c>
      <c r="B85">
        <v>9</v>
      </c>
      <c r="C85">
        <v>12</v>
      </c>
      <c r="D85">
        <v>7</v>
      </c>
      <c r="E85" s="1">
        <v>46377.583333333343</v>
      </c>
      <c r="F85">
        <v>4</v>
      </c>
      <c r="G85">
        <v>32</v>
      </c>
      <c r="H85" t="s">
        <v>22</v>
      </c>
      <c r="I85" t="s">
        <v>31</v>
      </c>
      <c r="J85">
        <v>8</v>
      </c>
      <c r="K85">
        <v>2026</v>
      </c>
      <c r="L85">
        <v>12</v>
      </c>
      <c r="M85">
        <v>14</v>
      </c>
      <c r="N85" t="s">
        <v>33</v>
      </c>
      <c r="O85" t="s">
        <v>13</v>
      </c>
      <c r="P85" t="s">
        <v>57</v>
      </c>
      <c r="Q85" t="s">
        <v>35</v>
      </c>
    </row>
    <row r="86" spans="1:17" x14ac:dyDescent="0.35">
      <c r="A86">
        <v>97</v>
      </c>
      <c r="B86">
        <v>18</v>
      </c>
      <c r="C86">
        <v>2</v>
      </c>
      <c r="D86">
        <v>8</v>
      </c>
      <c r="E86" s="1">
        <v>46126.958333333343</v>
      </c>
      <c r="F86">
        <v>2</v>
      </c>
      <c r="G86">
        <v>18</v>
      </c>
      <c r="H86" t="s">
        <v>22</v>
      </c>
      <c r="I86" t="s">
        <v>27</v>
      </c>
      <c r="J86">
        <v>9</v>
      </c>
      <c r="K86">
        <v>2026</v>
      </c>
      <c r="L86">
        <v>4</v>
      </c>
      <c r="M86">
        <v>23</v>
      </c>
      <c r="N86" t="s">
        <v>37</v>
      </c>
      <c r="O86" t="s">
        <v>13</v>
      </c>
      <c r="P86" t="s">
        <v>44</v>
      </c>
      <c r="Q86" t="s">
        <v>46</v>
      </c>
    </row>
    <row r="87" spans="1:17" x14ac:dyDescent="0.35">
      <c r="A87">
        <v>98</v>
      </c>
      <c r="B87">
        <v>19</v>
      </c>
      <c r="C87">
        <v>1</v>
      </c>
      <c r="D87">
        <v>9</v>
      </c>
      <c r="E87" s="1">
        <v>46078.625</v>
      </c>
      <c r="F87">
        <v>4</v>
      </c>
      <c r="G87">
        <v>32</v>
      </c>
      <c r="H87" t="s">
        <v>22</v>
      </c>
      <c r="I87" t="s">
        <v>18</v>
      </c>
      <c r="J87">
        <v>8</v>
      </c>
      <c r="K87">
        <v>2026</v>
      </c>
      <c r="L87">
        <v>2</v>
      </c>
      <c r="M87">
        <v>15</v>
      </c>
      <c r="N87" t="s">
        <v>19</v>
      </c>
      <c r="O87" t="s">
        <v>13</v>
      </c>
      <c r="P87" t="s">
        <v>39</v>
      </c>
      <c r="Q87" t="s">
        <v>30</v>
      </c>
    </row>
    <row r="88" spans="1:17" x14ac:dyDescent="0.35">
      <c r="A88">
        <v>99</v>
      </c>
      <c r="B88">
        <v>18</v>
      </c>
      <c r="C88">
        <v>8</v>
      </c>
      <c r="D88">
        <v>4</v>
      </c>
      <c r="E88" s="1">
        <v>46204.958333333343</v>
      </c>
      <c r="F88">
        <v>3</v>
      </c>
      <c r="G88">
        <v>27</v>
      </c>
      <c r="H88" t="s">
        <v>17</v>
      </c>
      <c r="I88" t="s">
        <v>31</v>
      </c>
      <c r="J88">
        <v>9</v>
      </c>
      <c r="K88">
        <v>2026</v>
      </c>
      <c r="L88">
        <v>7</v>
      </c>
      <c r="M88">
        <v>23</v>
      </c>
      <c r="N88" t="s">
        <v>19</v>
      </c>
      <c r="O88" t="s">
        <v>13</v>
      </c>
      <c r="P88" t="s">
        <v>42</v>
      </c>
      <c r="Q88" t="s">
        <v>26</v>
      </c>
    </row>
    <row r="89" spans="1:17" x14ac:dyDescent="0.35">
      <c r="A89">
        <v>100</v>
      </c>
      <c r="B89">
        <v>5</v>
      </c>
      <c r="C89">
        <v>20</v>
      </c>
      <c r="D89">
        <v>2</v>
      </c>
      <c r="E89" s="1">
        <v>46360.895833333343</v>
      </c>
      <c r="F89">
        <v>4</v>
      </c>
      <c r="G89">
        <v>36</v>
      </c>
      <c r="H89" t="s">
        <v>17</v>
      </c>
      <c r="I89" t="s">
        <v>27</v>
      </c>
      <c r="J89">
        <v>9</v>
      </c>
      <c r="K89">
        <v>2026</v>
      </c>
      <c r="L89">
        <v>12</v>
      </c>
      <c r="M89">
        <v>21</v>
      </c>
      <c r="N89" t="s">
        <v>43</v>
      </c>
      <c r="O89" t="s">
        <v>13</v>
      </c>
      <c r="P89" t="s">
        <v>36</v>
      </c>
      <c r="Q89" t="s">
        <v>54</v>
      </c>
    </row>
    <row r="90" spans="1:17" x14ac:dyDescent="0.35">
      <c r="A90">
        <v>101</v>
      </c>
      <c r="B90">
        <v>7</v>
      </c>
      <c r="C90">
        <v>20</v>
      </c>
      <c r="D90">
        <v>5</v>
      </c>
      <c r="E90" s="1">
        <v>46229.729166666657</v>
      </c>
      <c r="F90">
        <v>4</v>
      </c>
      <c r="G90">
        <v>36</v>
      </c>
      <c r="H90" t="s">
        <v>22</v>
      </c>
      <c r="I90" t="s">
        <v>31</v>
      </c>
      <c r="J90">
        <v>9</v>
      </c>
      <c r="K90">
        <v>2026</v>
      </c>
      <c r="L90">
        <v>7</v>
      </c>
      <c r="M90">
        <v>17</v>
      </c>
      <c r="N90" t="s">
        <v>28</v>
      </c>
      <c r="O90" t="s">
        <v>24</v>
      </c>
      <c r="P90" t="s">
        <v>36</v>
      </c>
      <c r="Q90" t="s">
        <v>50</v>
      </c>
    </row>
    <row r="91" spans="1:17" x14ac:dyDescent="0.35">
      <c r="A91">
        <v>102</v>
      </c>
      <c r="B91">
        <v>5</v>
      </c>
      <c r="C91">
        <v>12</v>
      </c>
      <c r="D91">
        <v>5</v>
      </c>
      <c r="E91" s="1">
        <v>46063.8125</v>
      </c>
      <c r="F91">
        <v>6</v>
      </c>
      <c r="G91">
        <v>48</v>
      </c>
      <c r="H91" t="s">
        <v>22</v>
      </c>
      <c r="I91" t="s">
        <v>31</v>
      </c>
      <c r="J91">
        <v>8</v>
      </c>
      <c r="K91">
        <v>2026</v>
      </c>
      <c r="L91">
        <v>2</v>
      </c>
      <c r="M91">
        <v>19</v>
      </c>
      <c r="N91" t="s">
        <v>37</v>
      </c>
      <c r="O91" t="s">
        <v>13</v>
      </c>
      <c r="P91" t="s">
        <v>57</v>
      </c>
      <c r="Q91" t="s">
        <v>50</v>
      </c>
    </row>
    <row r="92" spans="1:17" x14ac:dyDescent="0.35">
      <c r="A92">
        <v>103</v>
      </c>
      <c r="B92">
        <v>11</v>
      </c>
      <c r="C92">
        <v>16</v>
      </c>
      <c r="D92">
        <v>5</v>
      </c>
      <c r="E92" s="1">
        <v>46340.625</v>
      </c>
      <c r="F92">
        <v>3</v>
      </c>
      <c r="G92">
        <v>27</v>
      </c>
      <c r="H92" t="s">
        <v>22</v>
      </c>
      <c r="I92" t="s">
        <v>18</v>
      </c>
      <c r="J92">
        <v>9</v>
      </c>
      <c r="K92">
        <v>2026</v>
      </c>
      <c r="L92">
        <v>11</v>
      </c>
      <c r="M92">
        <v>15</v>
      </c>
      <c r="N92" t="s">
        <v>23</v>
      </c>
      <c r="O92" t="s">
        <v>24</v>
      </c>
      <c r="P92" t="s">
        <v>51</v>
      </c>
      <c r="Q92" t="s">
        <v>50</v>
      </c>
    </row>
    <row r="93" spans="1:17" x14ac:dyDescent="0.35">
      <c r="A93">
        <v>104</v>
      </c>
      <c r="B93">
        <v>1</v>
      </c>
      <c r="C93">
        <v>13</v>
      </c>
      <c r="D93">
        <v>8</v>
      </c>
      <c r="E93" s="1">
        <v>46088.958333333343</v>
      </c>
      <c r="F93">
        <v>6</v>
      </c>
      <c r="G93">
        <v>60</v>
      </c>
      <c r="H93" t="s">
        <v>22</v>
      </c>
      <c r="I93" t="s">
        <v>18</v>
      </c>
      <c r="J93">
        <v>10</v>
      </c>
      <c r="K93">
        <v>2026</v>
      </c>
      <c r="L93">
        <v>3</v>
      </c>
      <c r="M93">
        <v>23</v>
      </c>
      <c r="N93" t="s">
        <v>23</v>
      </c>
      <c r="O93" t="s">
        <v>24</v>
      </c>
      <c r="P93" t="s">
        <v>49</v>
      </c>
      <c r="Q93" t="s">
        <v>46</v>
      </c>
    </row>
    <row r="94" spans="1:17" x14ac:dyDescent="0.35">
      <c r="A94">
        <v>105</v>
      </c>
      <c r="B94">
        <v>19</v>
      </c>
      <c r="C94">
        <v>6</v>
      </c>
      <c r="D94">
        <v>2</v>
      </c>
      <c r="E94" s="1">
        <v>46232.833333333343</v>
      </c>
      <c r="F94">
        <v>4</v>
      </c>
      <c r="G94">
        <v>32</v>
      </c>
      <c r="H94" t="s">
        <v>22</v>
      </c>
      <c r="I94" t="s">
        <v>18</v>
      </c>
      <c r="J94">
        <v>8</v>
      </c>
      <c r="K94">
        <v>2026</v>
      </c>
      <c r="L94">
        <v>7</v>
      </c>
      <c r="M94">
        <v>20</v>
      </c>
      <c r="N94" t="s">
        <v>19</v>
      </c>
      <c r="O94" t="s">
        <v>13</v>
      </c>
      <c r="P94" t="s">
        <v>52</v>
      </c>
      <c r="Q94" t="s">
        <v>54</v>
      </c>
    </row>
    <row r="95" spans="1:17" x14ac:dyDescent="0.35">
      <c r="A95">
        <v>106</v>
      </c>
      <c r="B95">
        <v>11</v>
      </c>
      <c r="C95">
        <v>8</v>
      </c>
      <c r="D95">
        <v>6</v>
      </c>
      <c r="E95" s="1">
        <v>46363.979166666657</v>
      </c>
      <c r="F95">
        <v>5</v>
      </c>
      <c r="G95">
        <v>45</v>
      </c>
      <c r="H95" t="s">
        <v>22</v>
      </c>
      <c r="I95" t="s">
        <v>27</v>
      </c>
      <c r="J95">
        <v>9</v>
      </c>
      <c r="K95">
        <v>2026</v>
      </c>
      <c r="L95">
        <v>12</v>
      </c>
      <c r="M95">
        <v>23</v>
      </c>
      <c r="N95" t="s">
        <v>33</v>
      </c>
      <c r="O95" t="s">
        <v>13</v>
      </c>
      <c r="P95" t="s">
        <v>42</v>
      </c>
      <c r="Q95" t="s">
        <v>21</v>
      </c>
    </row>
    <row r="96" spans="1:17" x14ac:dyDescent="0.35">
      <c r="A96">
        <v>107</v>
      </c>
      <c r="B96">
        <v>15</v>
      </c>
      <c r="C96">
        <v>13</v>
      </c>
      <c r="D96">
        <v>4</v>
      </c>
      <c r="E96" s="1">
        <v>46378.895833333343</v>
      </c>
      <c r="F96">
        <v>6</v>
      </c>
      <c r="G96">
        <v>54</v>
      </c>
      <c r="H96" t="s">
        <v>22</v>
      </c>
      <c r="I96" t="s">
        <v>18</v>
      </c>
      <c r="J96">
        <v>9</v>
      </c>
      <c r="K96">
        <v>2026</v>
      </c>
      <c r="L96">
        <v>12</v>
      </c>
      <c r="M96">
        <v>21</v>
      </c>
      <c r="N96" t="s">
        <v>37</v>
      </c>
      <c r="O96" t="s">
        <v>13</v>
      </c>
      <c r="P96" t="s">
        <v>49</v>
      </c>
      <c r="Q96" t="s">
        <v>26</v>
      </c>
    </row>
    <row r="97" spans="1:17" x14ac:dyDescent="0.35">
      <c r="A97">
        <v>108</v>
      </c>
      <c r="B97">
        <v>18</v>
      </c>
      <c r="C97">
        <v>19</v>
      </c>
      <c r="D97">
        <v>9</v>
      </c>
      <c r="E97" s="1">
        <v>46053.8125</v>
      </c>
      <c r="F97">
        <v>3</v>
      </c>
      <c r="G97">
        <v>27</v>
      </c>
      <c r="H97" t="s">
        <v>22</v>
      </c>
      <c r="I97" t="s">
        <v>18</v>
      </c>
      <c r="J97">
        <v>9</v>
      </c>
      <c r="K97">
        <v>2026</v>
      </c>
      <c r="L97">
        <v>1</v>
      </c>
      <c r="M97">
        <v>19</v>
      </c>
      <c r="N97" t="s">
        <v>23</v>
      </c>
      <c r="O97" t="s">
        <v>24</v>
      </c>
      <c r="P97" t="s">
        <v>58</v>
      </c>
      <c r="Q97" t="s">
        <v>30</v>
      </c>
    </row>
    <row r="98" spans="1:17" x14ac:dyDescent="0.35">
      <c r="A98">
        <v>109</v>
      </c>
      <c r="B98">
        <v>18</v>
      </c>
      <c r="C98">
        <v>5</v>
      </c>
      <c r="D98">
        <v>7</v>
      </c>
      <c r="E98" s="1">
        <v>46143.645833333343</v>
      </c>
      <c r="F98">
        <v>3</v>
      </c>
      <c r="G98">
        <v>24</v>
      </c>
      <c r="H98" t="s">
        <v>22</v>
      </c>
      <c r="I98" t="s">
        <v>18</v>
      </c>
      <c r="J98">
        <v>8</v>
      </c>
      <c r="K98">
        <v>2026</v>
      </c>
      <c r="L98">
        <v>5</v>
      </c>
      <c r="M98">
        <v>15</v>
      </c>
      <c r="N98" t="s">
        <v>43</v>
      </c>
      <c r="O98" t="s">
        <v>13</v>
      </c>
      <c r="P98" t="s">
        <v>53</v>
      </c>
      <c r="Q98" t="s">
        <v>35</v>
      </c>
    </row>
    <row r="99" spans="1:17" x14ac:dyDescent="0.35">
      <c r="A99">
        <v>110</v>
      </c>
      <c r="B99">
        <v>20</v>
      </c>
      <c r="C99">
        <v>18</v>
      </c>
      <c r="D99">
        <v>5</v>
      </c>
      <c r="E99" s="1">
        <v>46054.645833333343</v>
      </c>
      <c r="F99">
        <v>6</v>
      </c>
      <c r="G99">
        <v>54</v>
      </c>
      <c r="H99" t="s">
        <v>22</v>
      </c>
      <c r="I99" t="s">
        <v>18</v>
      </c>
      <c r="J99">
        <v>9</v>
      </c>
      <c r="K99">
        <v>2026</v>
      </c>
      <c r="L99">
        <v>2</v>
      </c>
      <c r="M99">
        <v>15</v>
      </c>
      <c r="N99" t="s">
        <v>28</v>
      </c>
      <c r="O99" t="s">
        <v>24</v>
      </c>
      <c r="P99" t="s">
        <v>47</v>
      </c>
      <c r="Q99" t="s">
        <v>50</v>
      </c>
    </row>
    <row r="100" spans="1:17" x14ac:dyDescent="0.35">
      <c r="A100">
        <v>111</v>
      </c>
      <c r="B100">
        <v>20</v>
      </c>
      <c r="C100">
        <v>12</v>
      </c>
      <c r="D100">
        <v>8</v>
      </c>
      <c r="E100" s="1">
        <v>46082.8125</v>
      </c>
      <c r="F100">
        <v>4</v>
      </c>
      <c r="G100">
        <v>36</v>
      </c>
      <c r="H100" t="s">
        <v>17</v>
      </c>
      <c r="I100" t="s">
        <v>27</v>
      </c>
      <c r="J100">
        <v>9</v>
      </c>
      <c r="K100">
        <v>2026</v>
      </c>
      <c r="L100">
        <v>3</v>
      </c>
      <c r="M100">
        <v>19</v>
      </c>
      <c r="N100" t="s">
        <v>28</v>
      </c>
      <c r="O100" t="s">
        <v>24</v>
      </c>
      <c r="P100" t="s">
        <v>57</v>
      </c>
      <c r="Q100" t="s">
        <v>46</v>
      </c>
    </row>
    <row r="101" spans="1:17" x14ac:dyDescent="0.35">
      <c r="A101">
        <v>112</v>
      </c>
      <c r="B101">
        <v>4</v>
      </c>
      <c r="C101">
        <v>6</v>
      </c>
      <c r="D101">
        <v>10</v>
      </c>
      <c r="E101" s="1">
        <v>46336.75</v>
      </c>
      <c r="F101">
        <v>3</v>
      </c>
      <c r="G101">
        <v>24</v>
      </c>
      <c r="H101" t="s">
        <v>22</v>
      </c>
      <c r="I101" t="s">
        <v>27</v>
      </c>
      <c r="J101">
        <v>8</v>
      </c>
      <c r="K101">
        <v>2026</v>
      </c>
      <c r="L101">
        <v>11</v>
      </c>
      <c r="M101">
        <v>18</v>
      </c>
      <c r="N101" t="s">
        <v>37</v>
      </c>
      <c r="O101" t="s">
        <v>13</v>
      </c>
      <c r="P101" t="s">
        <v>52</v>
      </c>
      <c r="Q101" t="s">
        <v>32</v>
      </c>
    </row>
    <row r="102" spans="1:17" x14ac:dyDescent="0.35">
      <c r="A102">
        <v>113</v>
      </c>
      <c r="B102">
        <v>4</v>
      </c>
      <c r="C102">
        <v>20</v>
      </c>
      <c r="D102">
        <v>9</v>
      </c>
      <c r="E102" s="1">
        <v>46232.854166666657</v>
      </c>
      <c r="F102">
        <v>5</v>
      </c>
      <c r="G102">
        <v>40</v>
      </c>
      <c r="H102" t="s">
        <v>22</v>
      </c>
      <c r="I102" t="s">
        <v>18</v>
      </c>
      <c r="J102">
        <v>8</v>
      </c>
      <c r="K102">
        <v>2026</v>
      </c>
      <c r="L102">
        <v>7</v>
      </c>
      <c r="M102">
        <v>20</v>
      </c>
      <c r="N102" t="s">
        <v>19</v>
      </c>
      <c r="O102" t="s">
        <v>13</v>
      </c>
      <c r="P102" t="s">
        <v>36</v>
      </c>
      <c r="Q102" t="s">
        <v>30</v>
      </c>
    </row>
    <row r="103" spans="1:17" x14ac:dyDescent="0.35">
      <c r="A103">
        <v>114</v>
      </c>
      <c r="B103">
        <v>7</v>
      </c>
      <c r="C103">
        <v>10</v>
      </c>
      <c r="D103">
        <v>1</v>
      </c>
      <c r="E103" s="1">
        <v>46135.6875</v>
      </c>
      <c r="F103">
        <v>6</v>
      </c>
      <c r="G103">
        <v>48</v>
      </c>
      <c r="H103" t="s">
        <v>22</v>
      </c>
      <c r="I103" t="s">
        <v>31</v>
      </c>
      <c r="J103">
        <v>8</v>
      </c>
      <c r="K103">
        <v>2026</v>
      </c>
      <c r="L103">
        <v>4</v>
      </c>
      <c r="M103">
        <v>16</v>
      </c>
      <c r="N103" t="s">
        <v>41</v>
      </c>
      <c r="O103" t="s">
        <v>13</v>
      </c>
      <c r="P103" t="s">
        <v>25</v>
      </c>
      <c r="Q103" t="s">
        <v>40</v>
      </c>
    </row>
    <row r="104" spans="1:17" x14ac:dyDescent="0.35">
      <c r="A104">
        <v>115</v>
      </c>
      <c r="B104">
        <v>2</v>
      </c>
      <c r="C104">
        <v>4</v>
      </c>
      <c r="D104">
        <v>5</v>
      </c>
      <c r="E104" s="1">
        <v>46091.729166666657</v>
      </c>
      <c r="F104">
        <v>1</v>
      </c>
      <c r="G104">
        <v>8</v>
      </c>
      <c r="H104" t="s">
        <v>22</v>
      </c>
      <c r="I104" t="s">
        <v>18</v>
      </c>
      <c r="J104">
        <v>8</v>
      </c>
      <c r="K104">
        <v>2026</v>
      </c>
      <c r="L104">
        <v>3</v>
      </c>
      <c r="M104">
        <v>17</v>
      </c>
      <c r="N104" t="s">
        <v>37</v>
      </c>
      <c r="O104" t="s">
        <v>13</v>
      </c>
      <c r="P104" t="s">
        <v>55</v>
      </c>
      <c r="Q104" t="s">
        <v>50</v>
      </c>
    </row>
    <row r="105" spans="1:17" x14ac:dyDescent="0.35">
      <c r="A105">
        <v>116</v>
      </c>
      <c r="B105">
        <v>19</v>
      </c>
      <c r="C105">
        <v>2</v>
      </c>
      <c r="D105">
        <v>4</v>
      </c>
      <c r="E105" s="1">
        <v>46344.770833333343</v>
      </c>
      <c r="F105">
        <v>5</v>
      </c>
      <c r="G105">
        <v>40</v>
      </c>
      <c r="H105" t="s">
        <v>22</v>
      </c>
      <c r="I105" t="s">
        <v>31</v>
      </c>
      <c r="J105">
        <v>8</v>
      </c>
      <c r="K105">
        <v>2026</v>
      </c>
      <c r="L105">
        <v>11</v>
      </c>
      <c r="M105">
        <v>18</v>
      </c>
      <c r="N105" t="s">
        <v>19</v>
      </c>
      <c r="O105" t="s">
        <v>13</v>
      </c>
      <c r="P105" t="s">
        <v>44</v>
      </c>
      <c r="Q105" t="s">
        <v>26</v>
      </c>
    </row>
    <row r="106" spans="1:17" x14ac:dyDescent="0.35">
      <c r="A106">
        <v>117</v>
      </c>
      <c r="B106">
        <v>19</v>
      </c>
      <c r="C106">
        <v>12</v>
      </c>
      <c r="D106">
        <v>5</v>
      </c>
      <c r="E106" s="1">
        <v>46237.9375</v>
      </c>
      <c r="F106">
        <v>2</v>
      </c>
      <c r="G106">
        <v>18</v>
      </c>
      <c r="H106" t="s">
        <v>22</v>
      </c>
      <c r="I106" t="s">
        <v>31</v>
      </c>
      <c r="J106">
        <v>9</v>
      </c>
      <c r="K106">
        <v>2026</v>
      </c>
      <c r="L106">
        <v>8</v>
      </c>
      <c r="M106">
        <v>22</v>
      </c>
      <c r="N106" t="s">
        <v>33</v>
      </c>
      <c r="O106" t="s">
        <v>13</v>
      </c>
      <c r="P106" t="s">
        <v>57</v>
      </c>
      <c r="Q106" t="s">
        <v>50</v>
      </c>
    </row>
    <row r="107" spans="1:17" x14ac:dyDescent="0.35">
      <c r="A107">
        <v>118</v>
      </c>
      <c r="B107">
        <v>4</v>
      </c>
      <c r="C107">
        <v>2</v>
      </c>
      <c r="D107">
        <v>9</v>
      </c>
      <c r="E107" s="1">
        <v>46070.958333333343</v>
      </c>
      <c r="F107">
        <v>6</v>
      </c>
      <c r="G107">
        <v>54</v>
      </c>
      <c r="H107" t="s">
        <v>22</v>
      </c>
      <c r="I107" t="s">
        <v>31</v>
      </c>
      <c r="J107">
        <v>9</v>
      </c>
      <c r="K107">
        <v>2026</v>
      </c>
      <c r="L107">
        <v>2</v>
      </c>
      <c r="M107">
        <v>23</v>
      </c>
      <c r="N107" t="s">
        <v>37</v>
      </c>
      <c r="O107" t="s">
        <v>13</v>
      </c>
      <c r="P107" t="s">
        <v>44</v>
      </c>
      <c r="Q107" t="s">
        <v>30</v>
      </c>
    </row>
    <row r="108" spans="1:17" x14ac:dyDescent="0.35">
      <c r="A108">
        <v>119</v>
      </c>
      <c r="B108">
        <v>12</v>
      </c>
      <c r="C108">
        <v>2</v>
      </c>
      <c r="D108">
        <v>4</v>
      </c>
      <c r="E108" s="1">
        <v>46285.770833333343</v>
      </c>
      <c r="F108">
        <v>3</v>
      </c>
      <c r="G108">
        <v>27</v>
      </c>
      <c r="H108" t="s">
        <v>22</v>
      </c>
      <c r="I108" t="s">
        <v>18</v>
      </c>
      <c r="J108">
        <v>9</v>
      </c>
      <c r="K108">
        <v>2026</v>
      </c>
      <c r="L108">
        <v>9</v>
      </c>
      <c r="M108">
        <v>18</v>
      </c>
      <c r="N108" t="s">
        <v>28</v>
      </c>
      <c r="O108" t="s">
        <v>24</v>
      </c>
      <c r="P108" t="s">
        <v>44</v>
      </c>
      <c r="Q108" t="s">
        <v>26</v>
      </c>
    </row>
    <row r="109" spans="1:17" x14ac:dyDescent="0.35">
      <c r="A109">
        <v>120</v>
      </c>
      <c r="B109">
        <v>4</v>
      </c>
      <c r="C109">
        <v>20</v>
      </c>
      <c r="D109">
        <v>9</v>
      </c>
      <c r="E109" s="1">
        <v>46274.895833333343</v>
      </c>
      <c r="F109">
        <v>4</v>
      </c>
      <c r="G109">
        <v>36</v>
      </c>
      <c r="H109" t="s">
        <v>22</v>
      </c>
      <c r="I109" t="s">
        <v>31</v>
      </c>
      <c r="J109">
        <v>9</v>
      </c>
      <c r="K109">
        <v>2026</v>
      </c>
      <c r="L109">
        <v>9</v>
      </c>
      <c r="M109">
        <v>21</v>
      </c>
      <c r="N109" t="s">
        <v>19</v>
      </c>
      <c r="O109" t="s">
        <v>13</v>
      </c>
      <c r="P109" t="s">
        <v>36</v>
      </c>
      <c r="Q109" t="s">
        <v>30</v>
      </c>
    </row>
    <row r="110" spans="1:17" x14ac:dyDescent="0.35">
      <c r="A110">
        <v>121</v>
      </c>
      <c r="B110">
        <v>6</v>
      </c>
      <c r="C110">
        <v>4</v>
      </c>
      <c r="D110">
        <v>10</v>
      </c>
      <c r="E110" s="1">
        <v>46222.604166666657</v>
      </c>
      <c r="F110">
        <v>1</v>
      </c>
      <c r="G110">
        <v>9</v>
      </c>
      <c r="H110" t="s">
        <v>22</v>
      </c>
      <c r="I110" t="s">
        <v>27</v>
      </c>
      <c r="J110">
        <v>9</v>
      </c>
      <c r="K110">
        <v>2026</v>
      </c>
      <c r="L110">
        <v>7</v>
      </c>
      <c r="M110">
        <v>14</v>
      </c>
      <c r="N110" t="s">
        <v>28</v>
      </c>
      <c r="O110" t="s">
        <v>24</v>
      </c>
      <c r="P110" t="s">
        <v>55</v>
      </c>
      <c r="Q110" t="s">
        <v>32</v>
      </c>
    </row>
    <row r="111" spans="1:17" x14ac:dyDescent="0.35">
      <c r="A111">
        <v>122</v>
      </c>
      <c r="B111">
        <v>12</v>
      </c>
      <c r="C111">
        <v>16</v>
      </c>
      <c r="D111">
        <v>6</v>
      </c>
      <c r="E111" s="1">
        <v>46056.729166666657</v>
      </c>
      <c r="F111">
        <v>1</v>
      </c>
      <c r="G111">
        <v>8</v>
      </c>
      <c r="H111" t="s">
        <v>22</v>
      </c>
      <c r="I111" t="s">
        <v>27</v>
      </c>
      <c r="J111">
        <v>8</v>
      </c>
      <c r="K111">
        <v>2026</v>
      </c>
      <c r="L111">
        <v>2</v>
      </c>
      <c r="M111">
        <v>17</v>
      </c>
      <c r="N111" t="s">
        <v>37</v>
      </c>
      <c r="O111" t="s">
        <v>13</v>
      </c>
      <c r="P111" t="s">
        <v>51</v>
      </c>
      <c r="Q111" t="s">
        <v>21</v>
      </c>
    </row>
    <row r="112" spans="1:17" x14ac:dyDescent="0.35">
      <c r="A112">
        <v>123</v>
      </c>
      <c r="B112">
        <v>15</v>
      </c>
      <c r="C112">
        <v>15</v>
      </c>
      <c r="D112">
        <v>7</v>
      </c>
      <c r="E112" s="1">
        <v>46095.6875</v>
      </c>
      <c r="F112">
        <v>1</v>
      </c>
      <c r="G112">
        <v>9</v>
      </c>
      <c r="H112" t="s">
        <v>22</v>
      </c>
      <c r="I112" t="s">
        <v>31</v>
      </c>
      <c r="J112">
        <v>9</v>
      </c>
      <c r="K112">
        <v>2026</v>
      </c>
      <c r="L112">
        <v>3</v>
      </c>
      <c r="M112">
        <v>16</v>
      </c>
      <c r="N112" t="s">
        <v>23</v>
      </c>
      <c r="O112" t="s">
        <v>24</v>
      </c>
      <c r="P112" t="s">
        <v>38</v>
      </c>
      <c r="Q112" t="s">
        <v>35</v>
      </c>
    </row>
    <row r="113" spans="1:17" x14ac:dyDescent="0.35">
      <c r="A113">
        <v>124</v>
      </c>
      <c r="B113">
        <v>5</v>
      </c>
      <c r="C113">
        <v>12</v>
      </c>
      <c r="D113">
        <v>1</v>
      </c>
      <c r="E113" s="1">
        <v>46191.708333333343</v>
      </c>
      <c r="F113">
        <v>4</v>
      </c>
      <c r="G113">
        <v>32</v>
      </c>
      <c r="H113" t="s">
        <v>22</v>
      </c>
      <c r="I113" t="s">
        <v>18</v>
      </c>
      <c r="J113">
        <v>8</v>
      </c>
      <c r="K113">
        <v>2026</v>
      </c>
      <c r="L113">
        <v>6</v>
      </c>
      <c r="M113">
        <v>17</v>
      </c>
      <c r="N113" t="s">
        <v>41</v>
      </c>
      <c r="O113" t="s">
        <v>13</v>
      </c>
      <c r="P113" t="s">
        <v>57</v>
      </c>
      <c r="Q113" t="s">
        <v>40</v>
      </c>
    </row>
    <row r="114" spans="1:17" x14ac:dyDescent="0.35">
      <c r="A114">
        <v>125</v>
      </c>
      <c r="B114">
        <v>7</v>
      </c>
      <c r="C114">
        <v>3</v>
      </c>
      <c r="D114">
        <v>2</v>
      </c>
      <c r="E114" s="1">
        <v>46328.916666666657</v>
      </c>
      <c r="F114">
        <v>4</v>
      </c>
      <c r="G114">
        <v>36</v>
      </c>
      <c r="H114" t="s">
        <v>22</v>
      </c>
      <c r="I114" t="s">
        <v>18</v>
      </c>
      <c r="J114">
        <v>9</v>
      </c>
      <c r="K114">
        <v>2026</v>
      </c>
      <c r="L114">
        <v>11</v>
      </c>
      <c r="M114">
        <v>22</v>
      </c>
      <c r="N114" t="s">
        <v>33</v>
      </c>
      <c r="O114" t="s">
        <v>13</v>
      </c>
      <c r="P114" t="s">
        <v>20</v>
      </c>
      <c r="Q114" t="s">
        <v>54</v>
      </c>
    </row>
    <row r="115" spans="1:17" x14ac:dyDescent="0.35">
      <c r="A115">
        <v>126</v>
      </c>
      <c r="B115">
        <v>11</v>
      </c>
      <c r="C115">
        <v>9</v>
      </c>
      <c r="D115">
        <v>8</v>
      </c>
      <c r="E115" s="1">
        <v>46296.625</v>
      </c>
      <c r="F115">
        <v>2</v>
      </c>
      <c r="G115">
        <v>16</v>
      </c>
      <c r="H115" t="s">
        <v>22</v>
      </c>
      <c r="I115" t="s">
        <v>18</v>
      </c>
      <c r="J115">
        <v>8</v>
      </c>
      <c r="K115">
        <v>2026</v>
      </c>
      <c r="L115">
        <v>10</v>
      </c>
      <c r="M115">
        <v>15</v>
      </c>
      <c r="N115" t="s">
        <v>41</v>
      </c>
      <c r="O115" t="s">
        <v>13</v>
      </c>
      <c r="P115" t="s">
        <v>48</v>
      </c>
      <c r="Q115" t="s">
        <v>46</v>
      </c>
    </row>
    <row r="116" spans="1:17" x14ac:dyDescent="0.35">
      <c r="A116">
        <v>127</v>
      </c>
      <c r="B116">
        <v>9</v>
      </c>
      <c r="C116">
        <v>3</v>
      </c>
      <c r="D116">
        <v>3</v>
      </c>
      <c r="E116" s="1">
        <v>46057.875</v>
      </c>
      <c r="F116">
        <v>1</v>
      </c>
      <c r="G116">
        <v>9</v>
      </c>
      <c r="H116" t="s">
        <v>22</v>
      </c>
      <c r="I116" t="s">
        <v>27</v>
      </c>
      <c r="J116">
        <v>9</v>
      </c>
      <c r="K116">
        <v>2026</v>
      </c>
      <c r="L116">
        <v>2</v>
      </c>
      <c r="M116">
        <v>21</v>
      </c>
      <c r="N116" t="s">
        <v>19</v>
      </c>
      <c r="O116" t="s">
        <v>13</v>
      </c>
      <c r="P116" t="s">
        <v>20</v>
      </c>
      <c r="Q116" t="s">
        <v>45</v>
      </c>
    </row>
    <row r="117" spans="1:17" x14ac:dyDescent="0.35">
      <c r="A117">
        <v>128</v>
      </c>
      <c r="B117">
        <v>12</v>
      </c>
      <c r="C117">
        <v>11</v>
      </c>
      <c r="D117">
        <v>2</v>
      </c>
      <c r="E117" s="1">
        <v>46174.583333333343</v>
      </c>
      <c r="F117">
        <v>1</v>
      </c>
      <c r="G117">
        <v>8</v>
      </c>
      <c r="H117" t="s">
        <v>17</v>
      </c>
      <c r="I117" t="s">
        <v>31</v>
      </c>
      <c r="J117">
        <v>8</v>
      </c>
      <c r="K117">
        <v>2026</v>
      </c>
      <c r="L117">
        <v>6</v>
      </c>
      <c r="M117">
        <v>14</v>
      </c>
      <c r="N117" t="s">
        <v>33</v>
      </c>
      <c r="O117" t="s">
        <v>13</v>
      </c>
      <c r="P117" t="s">
        <v>59</v>
      </c>
      <c r="Q117" t="s">
        <v>54</v>
      </c>
    </row>
    <row r="118" spans="1:17" x14ac:dyDescent="0.35">
      <c r="A118">
        <v>129</v>
      </c>
      <c r="B118">
        <v>20</v>
      </c>
      <c r="C118">
        <v>2</v>
      </c>
      <c r="D118">
        <v>1</v>
      </c>
      <c r="E118" s="1">
        <v>46047.729166666657</v>
      </c>
      <c r="F118">
        <v>2</v>
      </c>
      <c r="G118">
        <v>18</v>
      </c>
      <c r="H118" t="s">
        <v>22</v>
      </c>
      <c r="I118" t="s">
        <v>27</v>
      </c>
      <c r="J118">
        <v>9</v>
      </c>
      <c r="K118">
        <v>2026</v>
      </c>
      <c r="L118">
        <v>1</v>
      </c>
      <c r="M118">
        <v>17</v>
      </c>
      <c r="N118" t="s">
        <v>28</v>
      </c>
      <c r="O118" t="s">
        <v>24</v>
      </c>
      <c r="P118" t="s">
        <v>44</v>
      </c>
      <c r="Q118" t="s">
        <v>40</v>
      </c>
    </row>
    <row r="119" spans="1:17" x14ac:dyDescent="0.35">
      <c r="A119">
        <v>130</v>
      </c>
      <c r="B119">
        <v>10</v>
      </c>
      <c r="C119">
        <v>9</v>
      </c>
      <c r="D119">
        <v>9</v>
      </c>
      <c r="E119" s="1">
        <v>46247.791666666657</v>
      </c>
      <c r="F119">
        <v>5</v>
      </c>
      <c r="G119">
        <v>40</v>
      </c>
      <c r="H119" t="s">
        <v>22</v>
      </c>
      <c r="I119" t="s">
        <v>18</v>
      </c>
      <c r="J119">
        <v>8</v>
      </c>
      <c r="K119">
        <v>2026</v>
      </c>
      <c r="L119">
        <v>8</v>
      </c>
      <c r="M119">
        <v>19</v>
      </c>
      <c r="N119" t="s">
        <v>41</v>
      </c>
      <c r="O119" t="s">
        <v>13</v>
      </c>
      <c r="P119" t="s">
        <v>48</v>
      </c>
      <c r="Q119" t="s">
        <v>30</v>
      </c>
    </row>
    <row r="120" spans="1:17" x14ac:dyDescent="0.35">
      <c r="A120">
        <v>131</v>
      </c>
      <c r="B120">
        <v>5</v>
      </c>
      <c r="C120">
        <v>7</v>
      </c>
      <c r="D120">
        <v>5</v>
      </c>
      <c r="E120" s="1">
        <v>46331.854166666657</v>
      </c>
      <c r="F120">
        <v>5</v>
      </c>
      <c r="G120">
        <v>40</v>
      </c>
      <c r="H120" t="s">
        <v>22</v>
      </c>
      <c r="I120" t="s">
        <v>18</v>
      </c>
      <c r="J120">
        <v>8</v>
      </c>
      <c r="K120">
        <v>2026</v>
      </c>
      <c r="L120">
        <v>11</v>
      </c>
      <c r="M120">
        <v>20</v>
      </c>
      <c r="N120" t="s">
        <v>41</v>
      </c>
      <c r="O120" t="s">
        <v>13</v>
      </c>
      <c r="P120" t="s">
        <v>34</v>
      </c>
      <c r="Q120" t="s">
        <v>50</v>
      </c>
    </row>
    <row r="121" spans="1:17" x14ac:dyDescent="0.35">
      <c r="A121">
        <v>132</v>
      </c>
      <c r="B121">
        <v>3</v>
      </c>
      <c r="C121">
        <v>10</v>
      </c>
      <c r="D121">
        <v>5</v>
      </c>
      <c r="E121" s="1">
        <v>46232.875</v>
      </c>
      <c r="F121">
        <v>2</v>
      </c>
      <c r="G121">
        <v>18</v>
      </c>
      <c r="H121" t="s">
        <v>22</v>
      </c>
      <c r="I121" t="s">
        <v>27</v>
      </c>
      <c r="J121">
        <v>9</v>
      </c>
      <c r="K121">
        <v>2026</v>
      </c>
      <c r="L121">
        <v>7</v>
      </c>
      <c r="M121">
        <v>21</v>
      </c>
      <c r="N121" t="s">
        <v>19</v>
      </c>
      <c r="O121" t="s">
        <v>13</v>
      </c>
      <c r="P121" t="s">
        <v>25</v>
      </c>
      <c r="Q121" t="s">
        <v>50</v>
      </c>
    </row>
    <row r="122" spans="1:17" x14ac:dyDescent="0.35">
      <c r="A122">
        <v>133</v>
      </c>
      <c r="B122">
        <v>12</v>
      </c>
      <c r="C122">
        <v>10</v>
      </c>
      <c r="D122">
        <v>6</v>
      </c>
      <c r="E122" s="1">
        <v>46267.666666666657</v>
      </c>
      <c r="F122">
        <v>6</v>
      </c>
      <c r="G122">
        <v>48</v>
      </c>
      <c r="H122" t="s">
        <v>22</v>
      </c>
      <c r="I122" t="s">
        <v>31</v>
      </c>
      <c r="J122">
        <v>8</v>
      </c>
      <c r="K122">
        <v>2026</v>
      </c>
      <c r="L122">
        <v>9</v>
      </c>
      <c r="M122">
        <v>16</v>
      </c>
      <c r="N122" t="s">
        <v>19</v>
      </c>
      <c r="O122" t="s">
        <v>13</v>
      </c>
      <c r="P122" t="s">
        <v>25</v>
      </c>
      <c r="Q122" t="s">
        <v>21</v>
      </c>
    </row>
    <row r="123" spans="1:17" x14ac:dyDescent="0.35">
      <c r="A123">
        <v>134</v>
      </c>
      <c r="B123">
        <v>13</v>
      </c>
      <c r="C123">
        <v>9</v>
      </c>
      <c r="D123">
        <v>7</v>
      </c>
      <c r="E123" s="1">
        <v>46177.583333333343</v>
      </c>
      <c r="F123">
        <v>3</v>
      </c>
      <c r="G123">
        <v>24</v>
      </c>
      <c r="H123" t="s">
        <v>22</v>
      </c>
      <c r="I123" t="s">
        <v>27</v>
      </c>
      <c r="J123">
        <v>8</v>
      </c>
      <c r="K123">
        <v>2026</v>
      </c>
      <c r="L123">
        <v>6</v>
      </c>
      <c r="M123">
        <v>14</v>
      </c>
      <c r="N123" t="s">
        <v>41</v>
      </c>
      <c r="O123" t="s">
        <v>13</v>
      </c>
      <c r="P123" t="s">
        <v>48</v>
      </c>
      <c r="Q123" t="s">
        <v>35</v>
      </c>
    </row>
    <row r="124" spans="1:17" x14ac:dyDescent="0.35">
      <c r="A124">
        <v>135</v>
      </c>
      <c r="B124">
        <v>2</v>
      </c>
      <c r="C124">
        <v>20</v>
      </c>
      <c r="D124">
        <v>7</v>
      </c>
      <c r="E124" s="1">
        <v>46206.979166666657</v>
      </c>
      <c r="F124">
        <v>5</v>
      </c>
      <c r="G124">
        <v>45</v>
      </c>
      <c r="H124" t="s">
        <v>22</v>
      </c>
      <c r="I124" t="s">
        <v>27</v>
      </c>
      <c r="J124">
        <v>9</v>
      </c>
      <c r="K124">
        <v>2026</v>
      </c>
      <c r="L124">
        <v>7</v>
      </c>
      <c r="M124">
        <v>23</v>
      </c>
      <c r="N124" t="s">
        <v>43</v>
      </c>
      <c r="O124" t="s">
        <v>13</v>
      </c>
      <c r="P124" t="s">
        <v>36</v>
      </c>
      <c r="Q124" t="s">
        <v>35</v>
      </c>
    </row>
    <row r="125" spans="1:17" x14ac:dyDescent="0.35">
      <c r="A125">
        <v>136</v>
      </c>
      <c r="B125">
        <v>5</v>
      </c>
      <c r="C125">
        <v>18</v>
      </c>
      <c r="D125">
        <v>9</v>
      </c>
      <c r="E125" s="1">
        <v>46079.583333333343</v>
      </c>
      <c r="F125">
        <v>3</v>
      </c>
      <c r="G125">
        <v>24</v>
      </c>
      <c r="H125" t="s">
        <v>22</v>
      </c>
      <c r="I125" t="s">
        <v>31</v>
      </c>
      <c r="J125">
        <v>8</v>
      </c>
      <c r="K125">
        <v>2026</v>
      </c>
      <c r="L125">
        <v>2</v>
      </c>
      <c r="M125">
        <v>14</v>
      </c>
      <c r="N125" t="s">
        <v>41</v>
      </c>
      <c r="O125" t="s">
        <v>13</v>
      </c>
      <c r="P125" t="s">
        <v>47</v>
      </c>
      <c r="Q125" t="s">
        <v>30</v>
      </c>
    </row>
    <row r="126" spans="1:17" x14ac:dyDescent="0.35">
      <c r="A126">
        <v>137</v>
      </c>
      <c r="B126">
        <v>7</v>
      </c>
      <c r="C126">
        <v>2</v>
      </c>
      <c r="D126">
        <v>5</v>
      </c>
      <c r="E126" s="1">
        <v>46105.729166666657</v>
      </c>
      <c r="F126">
        <v>3</v>
      </c>
      <c r="G126">
        <v>24</v>
      </c>
      <c r="H126" t="s">
        <v>17</v>
      </c>
      <c r="I126" t="s">
        <v>31</v>
      </c>
      <c r="J126">
        <v>8</v>
      </c>
      <c r="K126">
        <v>2026</v>
      </c>
      <c r="L126">
        <v>3</v>
      </c>
      <c r="M126">
        <v>17</v>
      </c>
      <c r="N126" t="s">
        <v>37</v>
      </c>
      <c r="O126" t="s">
        <v>13</v>
      </c>
      <c r="P126" t="s">
        <v>44</v>
      </c>
      <c r="Q126" t="s">
        <v>50</v>
      </c>
    </row>
    <row r="127" spans="1:17" x14ac:dyDescent="0.35">
      <c r="A127">
        <v>138</v>
      </c>
      <c r="B127">
        <v>7</v>
      </c>
      <c r="C127">
        <v>1</v>
      </c>
      <c r="D127">
        <v>2</v>
      </c>
      <c r="E127" s="1">
        <v>46301.875</v>
      </c>
      <c r="F127">
        <v>6</v>
      </c>
      <c r="G127">
        <v>54</v>
      </c>
      <c r="H127" t="s">
        <v>22</v>
      </c>
      <c r="I127" t="s">
        <v>27</v>
      </c>
      <c r="J127">
        <v>9</v>
      </c>
      <c r="K127">
        <v>2026</v>
      </c>
      <c r="L127">
        <v>10</v>
      </c>
      <c r="M127">
        <v>21</v>
      </c>
      <c r="N127" t="s">
        <v>37</v>
      </c>
      <c r="O127" t="s">
        <v>13</v>
      </c>
      <c r="P127" t="s">
        <v>39</v>
      </c>
      <c r="Q127" t="s">
        <v>54</v>
      </c>
    </row>
    <row r="128" spans="1:17" x14ac:dyDescent="0.35">
      <c r="A128">
        <v>139</v>
      </c>
      <c r="B128">
        <v>13</v>
      </c>
      <c r="C128">
        <v>9</v>
      </c>
      <c r="D128">
        <v>9</v>
      </c>
      <c r="E128" s="1">
        <v>46148.791666666657</v>
      </c>
      <c r="F128">
        <v>3</v>
      </c>
      <c r="G128">
        <v>24</v>
      </c>
      <c r="H128" t="s">
        <v>22</v>
      </c>
      <c r="I128" t="s">
        <v>31</v>
      </c>
      <c r="J128">
        <v>8</v>
      </c>
      <c r="K128">
        <v>2026</v>
      </c>
      <c r="L128">
        <v>5</v>
      </c>
      <c r="M128">
        <v>19</v>
      </c>
      <c r="N128" t="s">
        <v>19</v>
      </c>
      <c r="O128" t="s">
        <v>13</v>
      </c>
      <c r="P128" t="s">
        <v>48</v>
      </c>
      <c r="Q128" t="s">
        <v>30</v>
      </c>
    </row>
    <row r="129" spans="1:17" x14ac:dyDescent="0.35">
      <c r="A129">
        <v>140</v>
      </c>
      <c r="B129">
        <v>12</v>
      </c>
      <c r="C129">
        <v>3</v>
      </c>
      <c r="D129">
        <v>10</v>
      </c>
      <c r="E129" s="1">
        <v>46207.708333333343</v>
      </c>
      <c r="F129">
        <v>5</v>
      </c>
      <c r="G129">
        <v>45</v>
      </c>
      <c r="H129" t="s">
        <v>22</v>
      </c>
      <c r="I129" t="s">
        <v>18</v>
      </c>
      <c r="J129">
        <v>9</v>
      </c>
      <c r="K129">
        <v>2026</v>
      </c>
      <c r="L129">
        <v>7</v>
      </c>
      <c r="M129">
        <v>17</v>
      </c>
      <c r="N129" t="s">
        <v>23</v>
      </c>
      <c r="O129" t="s">
        <v>24</v>
      </c>
      <c r="P129" t="s">
        <v>20</v>
      </c>
      <c r="Q129" t="s">
        <v>32</v>
      </c>
    </row>
    <row r="130" spans="1:17" x14ac:dyDescent="0.35">
      <c r="A130">
        <v>141</v>
      </c>
      <c r="B130">
        <v>16</v>
      </c>
      <c r="C130">
        <v>18</v>
      </c>
      <c r="D130">
        <v>1</v>
      </c>
      <c r="E130" s="1">
        <v>46306.604166666657</v>
      </c>
      <c r="F130">
        <v>4</v>
      </c>
      <c r="G130">
        <v>36</v>
      </c>
      <c r="H130" t="s">
        <v>22</v>
      </c>
      <c r="I130" t="s">
        <v>31</v>
      </c>
      <c r="J130">
        <v>9</v>
      </c>
      <c r="K130">
        <v>2026</v>
      </c>
      <c r="L130">
        <v>10</v>
      </c>
      <c r="M130">
        <v>14</v>
      </c>
      <c r="N130" t="s">
        <v>28</v>
      </c>
      <c r="O130" t="s">
        <v>24</v>
      </c>
      <c r="P130" t="s">
        <v>47</v>
      </c>
      <c r="Q130" t="s">
        <v>40</v>
      </c>
    </row>
    <row r="131" spans="1:17" x14ac:dyDescent="0.35">
      <c r="A131">
        <v>142</v>
      </c>
      <c r="B131">
        <v>20</v>
      </c>
      <c r="C131">
        <v>4</v>
      </c>
      <c r="D131">
        <v>1</v>
      </c>
      <c r="E131" s="1">
        <v>46210.895833333343</v>
      </c>
      <c r="F131">
        <v>6</v>
      </c>
      <c r="G131">
        <v>54</v>
      </c>
      <c r="H131" t="s">
        <v>22</v>
      </c>
      <c r="I131" t="s">
        <v>31</v>
      </c>
      <c r="J131">
        <v>9</v>
      </c>
      <c r="K131">
        <v>2026</v>
      </c>
      <c r="L131">
        <v>7</v>
      </c>
      <c r="M131">
        <v>21</v>
      </c>
      <c r="N131" t="s">
        <v>37</v>
      </c>
      <c r="O131" t="s">
        <v>13</v>
      </c>
      <c r="P131" t="s">
        <v>55</v>
      </c>
      <c r="Q131" t="s">
        <v>40</v>
      </c>
    </row>
    <row r="132" spans="1:17" x14ac:dyDescent="0.35">
      <c r="A132">
        <v>143</v>
      </c>
      <c r="B132">
        <v>9</v>
      </c>
      <c r="C132">
        <v>17</v>
      </c>
      <c r="D132">
        <v>6</v>
      </c>
      <c r="E132" s="1">
        <v>46135.8125</v>
      </c>
      <c r="F132">
        <v>3</v>
      </c>
      <c r="G132">
        <v>24</v>
      </c>
      <c r="H132" t="s">
        <v>22</v>
      </c>
      <c r="I132" t="s">
        <v>18</v>
      </c>
      <c r="J132">
        <v>8</v>
      </c>
      <c r="K132">
        <v>2026</v>
      </c>
      <c r="L132">
        <v>4</v>
      </c>
      <c r="M132">
        <v>19</v>
      </c>
      <c r="N132" t="s">
        <v>41</v>
      </c>
      <c r="O132" t="s">
        <v>13</v>
      </c>
      <c r="P132" t="s">
        <v>56</v>
      </c>
      <c r="Q132" t="s">
        <v>21</v>
      </c>
    </row>
    <row r="133" spans="1:17" x14ac:dyDescent="0.35">
      <c r="A133">
        <v>144</v>
      </c>
      <c r="B133">
        <v>7</v>
      </c>
      <c r="C133">
        <v>3</v>
      </c>
      <c r="D133">
        <v>9</v>
      </c>
      <c r="E133" s="1">
        <v>46231.75</v>
      </c>
      <c r="F133">
        <v>2</v>
      </c>
      <c r="G133">
        <v>16</v>
      </c>
      <c r="H133" t="s">
        <v>22</v>
      </c>
      <c r="I133" t="s">
        <v>27</v>
      </c>
      <c r="J133">
        <v>8</v>
      </c>
      <c r="K133">
        <v>2026</v>
      </c>
      <c r="L133">
        <v>7</v>
      </c>
      <c r="M133">
        <v>18</v>
      </c>
      <c r="N133" t="s">
        <v>37</v>
      </c>
      <c r="O133" t="s">
        <v>13</v>
      </c>
      <c r="P133" t="s">
        <v>20</v>
      </c>
      <c r="Q133" t="s">
        <v>30</v>
      </c>
    </row>
    <row r="134" spans="1:17" x14ac:dyDescent="0.35">
      <c r="A134">
        <v>145</v>
      </c>
      <c r="B134">
        <v>11</v>
      </c>
      <c r="C134">
        <v>17</v>
      </c>
      <c r="D134">
        <v>10</v>
      </c>
      <c r="E134" s="1">
        <v>46128.9375</v>
      </c>
      <c r="F134">
        <v>4</v>
      </c>
      <c r="G134">
        <v>36</v>
      </c>
      <c r="H134" t="s">
        <v>17</v>
      </c>
      <c r="I134" t="s">
        <v>18</v>
      </c>
      <c r="J134">
        <v>9</v>
      </c>
      <c r="K134">
        <v>2026</v>
      </c>
      <c r="L134">
        <v>4</v>
      </c>
      <c r="M134">
        <v>22</v>
      </c>
      <c r="N134" t="s">
        <v>41</v>
      </c>
      <c r="O134" t="s">
        <v>13</v>
      </c>
      <c r="P134" t="s">
        <v>56</v>
      </c>
      <c r="Q134" t="s">
        <v>32</v>
      </c>
    </row>
    <row r="135" spans="1:17" x14ac:dyDescent="0.35">
      <c r="A135">
        <v>146</v>
      </c>
      <c r="B135">
        <v>14</v>
      </c>
      <c r="C135">
        <v>9</v>
      </c>
      <c r="D135">
        <v>7</v>
      </c>
      <c r="E135" s="1">
        <v>46109.6875</v>
      </c>
      <c r="F135">
        <v>4</v>
      </c>
      <c r="G135">
        <v>36</v>
      </c>
      <c r="H135" t="s">
        <v>22</v>
      </c>
      <c r="I135" t="s">
        <v>27</v>
      </c>
      <c r="J135">
        <v>9</v>
      </c>
      <c r="K135">
        <v>2026</v>
      </c>
      <c r="L135">
        <v>3</v>
      </c>
      <c r="M135">
        <v>16</v>
      </c>
      <c r="N135" t="s">
        <v>23</v>
      </c>
      <c r="O135" t="s">
        <v>24</v>
      </c>
      <c r="P135" t="s">
        <v>48</v>
      </c>
      <c r="Q135" t="s">
        <v>35</v>
      </c>
    </row>
    <row r="136" spans="1:17" x14ac:dyDescent="0.35">
      <c r="A136">
        <v>147</v>
      </c>
      <c r="B136">
        <v>17</v>
      </c>
      <c r="C136">
        <v>11</v>
      </c>
      <c r="D136">
        <v>10</v>
      </c>
      <c r="E136" s="1">
        <v>46052.75</v>
      </c>
      <c r="F136">
        <v>5</v>
      </c>
      <c r="G136">
        <v>40</v>
      </c>
      <c r="H136" t="s">
        <v>22</v>
      </c>
      <c r="I136" t="s">
        <v>31</v>
      </c>
      <c r="J136">
        <v>8</v>
      </c>
      <c r="K136">
        <v>2026</v>
      </c>
      <c r="L136">
        <v>1</v>
      </c>
      <c r="M136">
        <v>18</v>
      </c>
      <c r="N136" t="s">
        <v>43</v>
      </c>
      <c r="O136" t="s">
        <v>13</v>
      </c>
      <c r="P136" t="s">
        <v>59</v>
      </c>
      <c r="Q136" t="s">
        <v>32</v>
      </c>
    </row>
    <row r="137" spans="1:17" x14ac:dyDescent="0.35">
      <c r="A137">
        <v>148</v>
      </c>
      <c r="B137">
        <v>7</v>
      </c>
      <c r="C137">
        <v>1</v>
      </c>
      <c r="D137">
        <v>3</v>
      </c>
      <c r="E137" s="1">
        <v>46318.604166666657</v>
      </c>
      <c r="F137">
        <v>2</v>
      </c>
      <c r="G137">
        <v>16</v>
      </c>
      <c r="H137" t="s">
        <v>22</v>
      </c>
      <c r="I137" t="s">
        <v>18</v>
      </c>
      <c r="J137">
        <v>8</v>
      </c>
      <c r="K137">
        <v>2026</v>
      </c>
      <c r="L137">
        <v>10</v>
      </c>
      <c r="M137">
        <v>14</v>
      </c>
      <c r="N137" t="s">
        <v>43</v>
      </c>
      <c r="O137" t="s">
        <v>13</v>
      </c>
      <c r="P137" t="s">
        <v>39</v>
      </c>
      <c r="Q137" t="s">
        <v>45</v>
      </c>
    </row>
    <row r="138" spans="1:17" x14ac:dyDescent="0.35">
      <c r="A138">
        <v>149</v>
      </c>
      <c r="B138">
        <v>1</v>
      </c>
      <c r="C138">
        <v>3</v>
      </c>
      <c r="D138">
        <v>1</v>
      </c>
      <c r="E138" s="1">
        <v>46138.791666666657</v>
      </c>
      <c r="F138">
        <v>2</v>
      </c>
      <c r="G138">
        <v>18</v>
      </c>
      <c r="H138" t="s">
        <v>22</v>
      </c>
      <c r="I138" t="s">
        <v>18</v>
      </c>
      <c r="J138">
        <v>9</v>
      </c>
      <c r="K138">
        <v>2026</v>
      </c>
      <c r="L138">
        <v>4</v>
      </c>
      <c r="M138">
        <v>19</v>
      </c>
      <c r="N138" t="s">
        <v>28</v>
      </c>
      <c r="O138" t="s">
        <v>24</v>
      </c>
      <c r="P138" t="s">
        <v>20</v>
      </c>
      <c r="Q138" t="s">
        <v>40</v>
      </c>
    </row>
    <row r="139" spans="1:17" x14ac:dyDescent="0.35">
      <c r="A139">
        <v>150</v>
      </c>
      <c r="B139">
        <v>18</v>
      </c>
      <c r="C139">
        <v>15</v>
      </c>
      <c r="D139">
        <v>5</v>
      </c>
      <c r="E139" s="1">
        <v>46223.9375</v>
      </c>
      <c r="F139">
        <v>4</v>
      </c>
      <c r="G139">
        <v>36</v>
      </c>
      <c r="H139" t="s">
        <v>22</v>
      </c>
      <c r="I139" t="s">
        <v>31</v>
      </c>
      <c r="J139">
        <v>9</v>
      </c>
      <c r="K139">
        <v>2026</v>
      </c>
      <c r="L139">
        <v>7</v>
      </c>
      <c r="M139">
        <v>22</v>
      </c>
      <c r="N139" t="s">
        <v>33</v>
      </c>
      <c r="O139" t="s">
        <v>13</v>
      </c>
      <c r="P139" t="s">
        <v>38</v>
      </c>
      <c r="Q139" t="s">
        <v>50</v>
      </c>
    </row>
    <row r="140" spans="1:17" x14ac:dyDescent="0.35">
      <c r="A140">
        <v>151</v>
      </c>
      <c r="B140">
        <v>13</v>
      </c>
      <c r="C140">
        <v>18</v>
      </c>
      <c r="D140">
        <v>5</v>
      </c>
      <c r="E140" s="1">
        <v>46070.625</v>
      </c>
      <c r="F140">
        <v>5</v>
      </c>
      <c r="G140">
        <v>40</v>
      </c>
      <c r="H140" t="s">
        <v>22</v>
      </c>
      <c r="I140" t="s">
        <v>27</v>
      </c>
      <c r="J140">
        <v>8</v>
      </c>
      <c r="K140">
        <v>2026</v>
      </c>
      <c r="L140">
        <v>2</v>
      </c>
      <c r="M140">
        <v>15</v>
      </c>
      <c r="N140" t="s">
        <v>37</v>
      </c>
      <c r="O140" t="s">
        <v>13</v>
      </c>
      <c r="P140" t="s">
        <v>47</v>
      </c>
      <c r="Q140" t="s">
        <v>50</v>
      </c>
    </row>
    <row r="141" spans="1:17" x14ac:dyDescent="0.35">
      <c r="A141">
        <v>152</v>
      </c>
      <c r="B141">
        <v>18</v>
      </c>
      <c r="C141">
        <v>19</v>
      </c>
      <c r="D141">
        <v>4</v>
      </c>
      <c r="E141" s="1">
        <v>46038.791666666657</v>
      </c>
      <c r="F141">
        <v>5</v>
      </c>
      <c r="G141">
        <v>40</v>
      </c>
      <c r="H141" t="s">
        <v>22</v>
      </c>
      <c r="I141" t="s">
        <v>18</v>
      </c>
      <c r="J141">
        <v>8</v>
      </c>
      <c r="K141">
        <v>2026</v>
      </c>
      <c r="L141">
        <v>1</v>
      </c>
      <c r="M141">
        <v>19</v>
      </c>
      <c r="N141" t="s">
        <v>43</v>
      </c>
      <c r="O141" t="s">
        <v>13</v>
      </c>
      <c r="P141" t="s">
        <v>58</v>
      </c>
      <c r="Q141" t="s">
        <v>26</v>
      </c>
    </row>
    <row r="142" spans="1:17" x14ac:dyDescent="0.35">
      <c r="A142">
        <v>153</v>
      </c>
      <c r="B142">
        <v>19</v>
      </c>
      <c r="C142">
        <v>20</v>
      </c>
      <c r="D142">
        <v>3</v>
      </c>
      <c r="E142" s="1">
        <v>46271.854166666657</v>
      </c>
      <c r="F142">
        <v>1</v>
      </c>
      <c r="G142">
        <v>9</v>
      </c>
      <c r="H142" t="s">
        <v>22</v>
      </c>
      <c r="I142" t="s">
        <v>18</v>
      </c>
      <c r="J142">
        <v>9</v>
      </c>
      <c r="K142">
        <v>2026</v>
      </c>
      <c r="L142">
        <v>9</v>
      </c>
      <c r="M142">
        <v>20</v>
      </c>
      <c r="N142" t="s">
        <v>28</v>
      </c>
      <c r="O142" t="s">
        <v>24</v>
      </c>
      <c r="P142" t="s">
        <v>36</v>
      </c>
      <c r="Q142" t="s">
        <v>45</v>
      </c>
    </row>
    <row r="143" spans="1:17" x14ac:dyDescent="0.35">
      <c r="A143">
        <v>154</v>
      </c>
      <c r="B143">
        <v>16</v>
      </c>
      <c r="C143">
        <v>6</v>
      </c>
      <c r="D143">
        <v>4</v>
      </c>
      <c r="E143" s="1">
        <v>46245.770833333343</v>
      </c>
      <c r="F143">
        <v>2</v>
      </c>
      <c r="G143">
        <v>16</v>
      </c>
      <c r="H143" t="s">
        <v>22</v>
      </c>
      <c r="I143" t="s">
        <v>27</v>
      </c>
      <c r="J143">
        <v>8</v>
      </c>
      <c r="K143">
        <v>2026</v>
      </c>
      <c r="L143">
        <v>8</v>
      </c>
      <c r="M143">
        <v>18</v>
      </c>
      <c r="N143" t="s">
        <v>37</v>
      </c>
      <c r="O143" t="s">
        <v>13</v>
      </c>
      <c r="P143" t="s">
        <v>52</v>
      </c>
      <c r="Q143" t="s">
        <v>26</v>
      </c>
    </row>
    <row r="144" spans="1:17" x14ac:dyDescent="0.35">
      <c r="A144">
        <v>155</v>
      </c>
      <c r="B144">
        <v>3</v>
      </c>
      <c r="C144">
        <v>20</v>
      </c>
      <c r="D144">
        <v>3</v>
      </c>
      <c r="E144" s="1">
        <v>46375.645833333343</v>
      </c>
      <c r="F144">
        <v>6</v>
      </c>
      <c r="G144">
        <v>54</v>
      </c>
      <c r="H144" t="s">
        <v>22</v>
      </c>
      <c r="I144" t="s">
        <v>18</v>
      </c>
      <c r="J144">
        <v>9</v>
      </c>
      <c r="K144">
        <v>2026</v>
      </c>
      <c r="L144">
        <v>12</v>
      </c>
      <c r="M144">
        <v>15</v>
      </c>
      <c r="N144" t="s">
        <v>23</v>
      </c>
      <c r="O144" t="s">
        <v>24</v>
      </c>
      <c r="P144" t="s">
        <v>36</v>
      </c>
      <c r="Q144" t="s">
        <v>45</v>
      </c>
    </row>
    <row r="145" spans="1:17" x14ac:dyDescent="0.35">
      <c r="A145">
        <v>156</v>
      </c>
      <c r="B145">
        <v>2</v>
      </c>
      <c r="C145">
        <v>16</v>
      </c>
      <c r="D145">
        <v>2</v>
      </c>
      <c r="E145" s="1">
        <v>46317.854166666657</v>
      </c>
      <c r="F145">
        <v>2</v>
      </c>
      <c r="G145">
        <v>16</v>
      </c>
      <c r="H145" t="s">
        <v>22</v>
      </c>
      <c r="I145" t="s">
        <v>31</v>
      </c>
      <c r="J145">
        <v>8</v>
      </c>
      <c r="K145">
        <v>2026</v>
      </c>
      <c r="L145">
        <v>10</v>
      </c>
      <c r="M145">
        <v>20</v>
      </c>
      <c r="N145" t="s">
        <v>41</v>
      </c>
      <c r="O145" t="s">
        <v>13</v>
      </c>
      <c r="P145" t="s">
        <v>51</v>
      </c>
      <c r="Q145" t="s">
        <v>54</v>
      </c>
    </row>
    <row r="146" spans="1:17" x14ac:dyDescent="0.35">
      <c r="A146">
        <v>157</v>
      </c>
      <c r="B146">
        <v>18</v>
      </c>
      <c r="C146">
        <v>20</v>
      </c>
      <c r="D146">
        <v>10</v>
      </c>
      <c r="E146" s="1">
        <v>46024.770833333343</v>
      </c>
      <c r="F146">
        <v>4</v>
      </c>
      <c r="G146">
        <v>32</v>
      </c>
      <c r="H146" t="s">
        <v>22</v>
      </c>
      <c r="I146" t="s">
        <v>31</v>
      </c>
      <c r="J146">
        <v>8</v>
      </c>
      <c r="K146">
        <v>2026</v>
      </c>
      <c r="L146">
        <v>1</v>
      </c>
      <c r="M146">
        <v>18</v>
      </c>
      <c r="N146" t="s">
        <v>43</v>
      </c>
      <c r="O146" t="s">
        <v>13</v>
      </c>
      <c r="P146" t="s">
        <v>36</v>
      </c>
      <c r="Q146" t="s">
        <v>32</v>
      </c>
    </row>
    <row r="147" spans="1:17" x14ac:dyDescent="0.35">
      <c r="A147">
        <v>158</v>
      </c>
      <c r="B147">
        <v>10</v>
      </c>
      <c r="C147">
        <v>17</v>
      </c>
      <c r="D147">
        <v>2</v>
      </c>
      <c r="E147" s="1">
        <v>46282.916666666657</v>
      </c>
      <c r="F147">
        <v>3</v>
      </c>
      <c r="G147">
        <v>27</v>
      </c>
      <c r="H147" t="s">
        <v>22</v>
      </c>
      <c r="I147" t="s">
        <v>27</v>
      </c>
      <c r="J147">
        <v>9</v>
      </c>
      <c r="K147">
        <v>2026</v>
      </c>
      <c r="L147">
        <v>9</v>
      </c>
      <c r="M147">
        <v>22</v>
      </c>
      <c r="N147" t="s">
        <v>41</v>
      </c>
      <c r="O147" t="s">
        <v>13</v>
      </c>
      <c r="P147" t="s">
        <v>56</v>
      </c>
      <c r="Q147" t="s">
        <v>54</v>
      </c>
    </row>
    <row r="148" spans="1:17" x14ac:dyDescent="0.35">
      <c r="A148">
        <v>159</v>
      </c>
      <c r="B148">
        <v>16</v>
      </c>
      <c r="C148">
        <v>11</v>
      </c>
      <c r="D148">
        <v>8</v>
      </c>
      <c r="E148" s="1">
        <v>46235.6875</v>
      </c>
      <c r="F148">
        <v>2</v>
      </c>
      <c r="G148">
        <v>18</v>
      </c>
      <c r="H148" t="s">
        <v>22</v>
      </c>
      <c r="I148" t="s">
        <v>18</v>
      </c>
      <c r="J148">
        <v>9</v>
      </c>
      <c r="K148">
        <v>2026</v>
      </c>
      <c r="L148">
        <v>8</v>
      </c>
      <c r="M148">
        <v>16</v>
      </c>
      <c r="N148" t="s">
        <v>23</v>
      </c>
      <c r="O148" t="s">
        <v>24</v>
      </c>
      <c r="P148" t="s">
        <v>59</v>
      </c>
      <c r="Q148" t="s">
        <v>46</v>
      </c>
    </row>
    <row r="149" spans="1:17" x14ac:dyDescent="0.35">
      <c r="A149">
        <v>160</v>
      </c>
      <c r="B149">
        <v>10</v>
      </c>
      <c r="C149">
        <v>10</v>
      </c>
      <c r="D149">
        <v>10</v>
      </c>
      <c r="E149" s="1">
        <v>46184.6875</v>
      </c>
      <c r="F149">
        <v>5</v>
      </c>
      <c r="G149">
        <v>40</v>
      </c>
      <c r="H149" t="s">
        <v>22</v>
      </c>
      <c r="I149" t="s">
        <v>18</v>
      </c>
      <c r="J149">
        <v>8</v>
      </c>
      <c r="K149">
        <v>2026</v>
      </c>
      <c r="L149">
        <v>6</v>
      </c>
      <c r="M149">
        <v>16</v>
      </c>
      <c r="N149" t="s">
        <v>41</v>
      </c>
      <c r="O149" t="s">
        <v>13</v>
      </c>
      <c r="P149" t="s">
        <v>25</v>
      </c>
      <c r="Q149" t="s">
        <v>32</v>
      </c>
    </row>
    <row r="150" spans="1:17" x14ac:dyDescent="0.35">
      <c r="A150">
        <v>161</v>
      </c>
      <c r="B150">
        <v>5</v>
      </c>
      <c r="C150">
        <v>7</v>
      </c>
      <c r="D150">
        <v>6</v>
      </c>
      <c r="E150" s="1">
        <v>46076.833333333343</v>
      </c>
      <c r="F150">
        <v>1</v>
      </c>
      <c r="G150">
        <v>8</v>
      </c>
      <c r="H150" t="s">
        <v>22</v>
      </c>
      <c r="I150" t="s">
        <v>27</v>
      </c>
      <c r="J150">
        <v>8</v>
      </c>
      <c r="K150">
        <v>2026</v>
      </c>
      <c r="L150">
        <v>2</v>
      </c>
      <c r="M150">
        <v>20</v>
      </c>
      <c r="N150" t="s">
        <v>33</v>
      </c>
      <c r="O150" t="s">
        <v>13</v>
      </c>
      <c r="P150" t="s">
        <v>34</v>
      </c>
      <c r="Q150" t="s">
        <v>21</v>
      </c>
    </row>
    <row r="151" spans="1:17" x14ac:dyDescent="0.35">
      <c r="A151">
        <v>162</v>
      </c>
      <c r="B151">
        <v>20</v>
      </c>
      <c r="C151">
        <v>10</v>
      </c>
      <c r="D151">
        <v>3</v>
      </c>
      <c r="E151" s="1">
        <v>46039.916666666657</v>
      </c>
      <c r="F151">
        <v>4</v>
      </c>
      <c r="G151">
        <v>40</v>
      </c>
      <c r="H151" t="s">
        <v>22</v>
      </c>
      <c r="I151" t="s">
        <v>18</v>
      </c>
      <c r="J151">
        <v>10</v>
      </c>
      <c r="K151">
        <v>2026</v>
      </c>
      <c r="L151">
        <v>1</v>
      </c>
      <c r="M151">
        <v>22</v>
      </c>
      <c r="N151" t="s">
        <v>23</v>
      </c>
      <c r="O151" t="s">
        <v>24</v>
      </c>
      <c r="P151" t="s">
        <v>25</v>
      </c>
      <c r="Q151" t="s">
        <v>45</v>
      </c>
    </row>
    <row r="152" spans="1:17" x14ac:dyDescent="0.35">
      <c r="A152">
        <v>163</v>
      </c>
      <c r="B152">
        <v>12</v>
      </c>
      <c r="C152">
        <v>13</v>
      </c>
      <c r="D152">
        <v>8</v>
      </c>
      <c r="E152" s="1">
        <v>46273.729166666657</v>
      </c>
      <c r="F152">
        <v>1</v>
      </c>
      <c r="G152">
        <v>8</v>
      </c>
      <c r="H152" t="s">
        <v>22</v>
      </c>
      <c r="I152" t="s">
        <v>31</v>
      </c>
      <c r="J152">
        <v>8</v>
      </c>
      <c r="K152">
        <v>2026</v>
      </c>
      <c r="L152">
        <v>9</v>
      </c>
      <c r="M152">
        <v>17</v>
      </c>
      <c r="N152" t="s">
        <v>37</v>
      </c>
      <c r="O152" t="s">
        <v>13</v>
      </c>
      <c r="P152" t="s">
        <v>49</v>
      </c>
      <c r="Q152" t="s">
        <v>46</v>
      </c>
    </row>
    <row r="153" spans="1:17" x14ac:dyDescent="0.35">
      <c r="A153">
        <v>164</v>
      </c>
      <c r="B153">
        <v>11</v>
      </c>
      <c r="C153">
        <v>6</v>
      </c>
      <c r="D153">
        <v>5</v>
      </c>
      <c r="E153" s="1">
        <v>46199.75</v>
      </c>
      <c r="F153">
        <v>3</v>
      </c>
      <c r="G153">
        <v>24</v>
      </c>
      <c r="H153" t="s">
        <v>22</v>
      </c>
      <c r="I153" t="s">
        <v>31</v>
      </c>
      <c r="J153">
        <v>8</v>
      </c>
      <c r="K153">
        <v>2026</v>
      </c>
      <c r="L153">
        <v>6</v>
      </c>
      <c r="M153">
        <v>18</v>
      </c>
      <c r="N153" t="s">
        <v>43</v>
      </c>
      <c r="O153" t="s">
        <v>13</v>
      </c>
      <c r="P153" t="s">
        <v>52</v>
      </c>
      <c r="Q153" t="s">
        <v>50</v>
      </c>
    </row>
    <row r="154" spans="1:17" x14ac:dyDescent="0.35">
      <c r="A154">
        <v>165</v>
      </c>
      <c r="B154">
        <v>17</v>
      </c>
      <c r="C154">
        <v>8</v>
      </c>
      <c r="D154">
        <v>7</v>
      </c>
      <c r="E154" s="1">
        <v>46070.708333333343</v>
      </c>
      <c r="F154">
        <v>5</v>
      </c>
      <c r="G154">
        <v>40</v>
      </c>
      <c r="H154" t="s">
        <v>22</v>
      </c>
      <c r="I154" t="s">
        <v>31</v>
      </c>
      <c r="J154">
        <v>8</v>
      </c>
      <c r="K154">
        <v>2026</v>
      </c>
      <c r="L154">
        <v>2</v>
      </c>
      <c r="M154">
        <v>17</v>
      </c>
      <c r="N154" t="s">
        <v>37</v>
      </c>
      <c r="O154" t="s">
        <v>13</v>
      </c>
      <c r="P154" t="s">
        <v>42</v>
      </c>
      <c r="Q154" t="s">
        <v>35</v>
      </c>
    </row>
    <row r="155" spans="1:17" x14ac:dyDescent="0.35">
      <c r="A155">
        <v>166</v>
      </c>
      <c r="B155">
        <v>9</v>
      </c>
      <c r="C155">
        <v>2</v>
      </c>
      <c r="D155">
        <v>2</v>
      </c>
      <c r="E155" s="1">
        <v>46046.979166666657</v>
      </c>
      <c r="F155">
        <v>4</v>
      </c>
      <c r="G155">
        <v>40</v>
      </c>
      <c r="H155" t="s">
        <v>22</v>
      </c>
      <c r="I155" t="s">
        <v>27</v>
      </c>
      <c r="J155">
        <v>10</v>
      </c>
      <c r="K155">
        <v>2026</v>
      </c>
      <c r="L155">
        <v>1</v>
      </c>
      <c r="M155">
        <v>23</v>
      </c>
      <c r="N155" t="s">
        <v>23</v>
      </c>
      <c r="O155" t="s">
        <v>24</v>
      </c>
      <c r="P155" t="s">
        <v>44</v>
      </c>
      <c r="Q155" t="s">
        <v>54</v>
      </c>
    </row>
    <row r="156" spans="1:17" x14ac:dyDescent="0.35">
      <c r="A156">
        <v>167</v>
      </c>
      <c r="B156">
        <v>18</v>
      </c>
      <c r="C156">
        <v>9</v>
      </c>
      <c r="D156">
        <v>10</v>
      </c>
      <c r="E156" s="1">
        <v>46095.979166666657</v>
      </c>
      <c r="F156">
        <v>2</v>
      </c>
      <c r="G156">
        <v>20</v>
      </c>
      <c r="H156" t="s">
        <v>22</v>
      </c>
      <c r="I156" t="s">
        <v>18</v>
      </c>
      <c r="J156">
        <v>10</v>
      </c>
      <c r="K156">
        <v>2026</v>
      </c>
      <c r="L156">
        <v>3</v>
      </c>
      <c r="M156">
        <v>23</v>
      </c>
      <c r="N156" t="s">
        <v>23</v>
      </c>
      <c r="O156" t="s">
        <v>24</v>
      </c>
      <c r="P156" t="s">
        <v>48</v>
      </c>
      <c r="Q156" t="s">
        <v>32</v>
      </c>
    </row>
    <row r="157" spans="1:17" x14ac:dyDescent="0.35">
      <c r="A157">
        <v>168</v>
      </c>
      <c r="B157">
        <v>16</v>
      </c>
      <c r="C157">
        <v>5</v>
      </c>
      <c r="D157">
        <v>6</v>
      </c>
      <c r="E157" s="1">
        <v>46220.770833333343</v>
      </c>
      <c r="F157">
        <v>3</v>
      </c>
      <c r="G157">
        <v>24</v>
      </c>
      <c r="H157" t="s">
        <v>22</v>
      </c>
      <c r="I157" t="s">
        <v>18</v>
      </c>
      <c r="J157">
        <v>8</v>
      </c>
      <c r="K157">
        <v>2026</v>
      </c>
      <c r="L157">
        <v>7</v>
      </c>
      <c r="M157">
        <v>18</v>
      </c>
      <c r="N157" t="s">
        <v>43</v>
      </c>
      <c r="O157" t="s">
        <v>13</v>
      </c>
      <c r="P157" t="s">
        <v>53</v>
      </c>
      <c r="Q157" t="s">
        <v>21</v>
      </c>
    </row>
    <row r="158" spans="1:17" x14ac:dyDescent="0.35">
      <c r="A158">
        <v>169</v>
      </c>
      <c r="B158">
        <v>17</v>
      </c>
      <c r="C158">
        <v>4</v>
      </c>
      <c r="D158">
        <v>5</v>
      </c>
      <c r="E158" s="1">
        <v>46095.770833333343</v>
      </c>
      <c r="F158">
        <v>5</v>
      </c>
      <c r="G158">
        <v>45</v>
      </c>
      <c r="H158" t="s">
        <v>22</v>
      </c>
      <c r="I158" t="s">
        <v>27</v>
      </c>
      <c r="J158">
        <v>9</v>
      </c>
      <c r="K158">
        <v>2026</v>
      </c>
      <c r="L158">
        <v>3</v>
      </c>
      <c r="M158">
        <v>18</v>
      </c>
      <c r="N158" t="s">
        <v>23</v>
      </c>
      <c r="O158" t="s">
        <v>24</v>
      </c>
      <c r="P158" t="s">
        <v>55</v>
      </c>
      <c r="Q158" t="s">
        <v>50</v>
      </c>
    </row>
    <row r="159" spans="1:17" x14ac:dyDescent="0.35">
      <c r="A159">
        <v>170</v>
      </c>
      <c r="B159">
        <v>19</v>
      </c>
      <c r="C159">
        <v>3</v>
      </c>
      <c r="D159">
        <v>5</v>
      </c>
      <c r="E159" s="1">
        <v>46116.9375</v>
      </c>
      <c r="F159">
        <v>6</v>
      </c>
      <c r="G159">
        <v>60</v>
      </c>
      <c r="H159" t="s">
        <v>17</v>
      </c>
      <c r="I159" t="s">
        <v>27</v>
      </c>
      <c r="J159">
        <v>10</v>
      </c>
      <c r="K159">
        <v>2026</v>
      </c>
      <c r="L159">
        <v>4</v>
      </c>
      <c r="M159">
        <v>22</v>
      </c>
      <c r="N159" t="s">
        <v>23</v>
      </c>
      <c r="O159" t="s">
        <v>24</v>
      </c>
      <c r="P159" t="s">
        <v>20</v>
      </c>
      <c r="Q159" t="s">
        <v>50</v>
      </c>
    </row>
    <row r="160" spans="1:17" x14ac:dyDescent="0.35">
      <c r="A160">
        <v>171</v>
      </c>
      <c r="B160">
        <v>18</v>
      </c>
      <c r="C160">
        <v>6</v>
      </c>
      <c r="D160">
        <v>10</v>
      </c>
      <c r="E160" s="1">
        <v>46373.604166666657</v>
      </c>
      <c r="F160">
        <v>2</v>
      </c>
      <c r="G160">
        <v>16</v>
      </c>
      <c r="H160" t="s">
        <v>22</v>
      </c>
      <c r="I160" t="s">
        <v>31</v>
      </c>
      <c r="J160">
        <v>8</v>
      </c>
      <c r="K160">
        <v>2026</v>
      </c>
      <c r="L160">
        <v>12</v>
      </c>
      <c r="M160">
        <v>14</v>
      </c>
      <c r="N160" t="s">
        <v>41</v>
      </c>
      <c r="O160" t="s">
        <v>13</v>
      </c>
      <c r="P160" t="s">
        <v>52</v>
      </c>
      <c r="Q160" t="s">
        <v>32</v>
      </c>
    </row>
    <row r="161" spans="1:17" x14ac:dyDescent="0.35">
      <c r="A161">
        <v>172</v>
      </c>
      <c r="B161">
        <v>9</v>
      </c>
      <c r="C161">
        <v>5</v>
      </c>
      <c r="D161">
        <v>6</v>
      </c>
      <c r="E161" s="1">
        <v>46299.666666666657</v>
      </c>
      <c r="F161">
        <v>6</v>
      </c>
      <c r="G161">
        <v>54</v>
      </c>
      <c r="H161" t="s">
        <v>22</v>
      </c>
      <c r="I161" t="s">
        <v>18</v>
      </c>
      <c r="J161">
        <v>9</v>
      </c>
      <c r="K161">
        <v>2026</v>
      </c>
      <c r="L161">
        <v>10</v>
      </c>
      <c r="M161">
        <v>16</v>
      </c>
      <c r="N161" t="s">
        <v>28</v>
      </c>
      <c r="O161" t="s">
        <v>24</v>
      </c>
      <c r="P161" t="s">
        <v>53</v>
      </c>
      <c r="Q161" t="s">
        <v>21</v>
      </c>
    </row>
    <row r="162" spans="1:17" x14ac:dyDescent="0.35">
      <c r="A162">
        <v>173</v>
      </c>
      <c r="B162">
        <v>2</v>
      </c>
      <c r="C162">
        <v>9</v>
      </c>
      <c r="D162">
        <v>8</v>
      </c>
      <c r="E162" s="1">
        <v>46240.916666666657</v>
      </c>
      <c r="F162">
        <v>1</v>
      </c>
      <c r="G162">
        <v>9</v>
      </c>
      <c r="H162" t="s">
        <v>22</v>
      </c>
      <c r="I162" t="s">
        <v>31</v>
      </c>
      <c r="J162">
        <v>9</v>
      </c>
      <c r="K162">
        <v>2026</v>
      </c>
      <c r="L162">
        <v>8</v>
      </c>
      <c r="M162">
        <v>22</v>
      </c>
      <c r="N162" t="s">
        <v>41</v>
      </c>
      <c r="O162" t="s">
        <v>13</v>
      </c>
      <c r="P162" t="s">
        <v>48</v>
      </c>
      <c r="Q162" t="s">
        <v>46</v>
      </c>
    </row>
    <row r="163" spans="1:17" x14ac:dyDescent="0.35">
      <c r="A163">
        <v>174</v>
      </c>
      <c r="B163">
        <v>3</v>
      </c>
      <c r="C163">
        <v>16</v>
      </c>
      <c r="D163">
        <v>4</v>
      </c>
      <c r="E163" s="1">
        <v>46316.791666666657</v>
      </c>
      <c r="F163">
        <v>6</v>
      </c>
      <c r="G163">
        <v>48</v>
      </c>
      <c r="H163" t="s">
        <v>22</v>
      </c>
      <c r="I163" t="s">
        <v>18</v>
      </c>
      <c r="J163">
        <v>8</v>
      </c>
      <c r="K163">
        <v>2026</v>
      </c>
      <c r="L163">
        <v>10</v>
      </c>
      <c r="M163">
        <v>19</v>
      </c>
      <c r="N163" t="s">
        <v>19</v>
      </c>
      <c r="O163" t="s">
        <v>13</v>
      </c>
      <c r="P163" t="s">
        <v>51</v>
      </c>
      <c r="Q163" t="s">
        <v>26</v>
      </c>
    </row>
    <row r="164" spans="1:17" x14ac:dyDescent="0.35">
      <c r="A164">
        <v>175</v>
      </c>
      <c r="B164">
        <v>3</v>
      </c>
      <c r="C164">
        <v>20</v>
      </c>
      <c r="D164">
        <v>8</v>
      </c>
      <c r="E164" s="1">
        <v>46025.791666666657</v>
      </c>
      <c r="F164">
        <v>6</v>
      </c>
      <c r="G164">
        <v>54</v>
      </c>
      <c r="H164" t="s">
        <v>22</v>
      </c>
      <c r="I164" t="s">
        <v>18</v>
      </c>
      <c r="J164">
        <v>9</v>
      </c>
      <c r="K164">
        <v>2026</v>
      </c>
      <c r="L164">
        <v>1</v>
      </c>
      <c r="M164">
        <v>19</v>
      </c>
      <c r="N164" t="s">
        <v>23</v>
      </c>
      <c r="O164" t="s">
        <v>24</v>
      </c>
      <c r="P164" t="s">
        <v>36</v>
      </c>
      <c r="Q164" t="s">
        <v>46</v>
      </c>
    </row>
    <row r="165" spans="1:17" x14ac:dyDescent="0.35">
      <c r="A165">
        <v>176</v>
      </c>
      <c r="B165">
        <v>3</v>
      </c>
      <c r="C165">
        <v>16</v>
      </c>
      <c r="D165">
        <v>8</v>
      </c>
      <c r="E165" s="1">
        <v>46313.833333333343</v>
      </c>
      <c r="F165">
        <v>3</v>
      </c>
      <c r="G165">
        <v>27</v>
      </c>
      <c r="H165" t="s">
        <v>22</v>
      </c>
      <c r="I165" t="s">
        <v>27</v>
      </c>
      <c r="J165">
        <v>9</v>
      </c>
      <c r="K165">
        <v>2026</v>
      </c>
      <c r="L165">
        <v>10</v>
      </c>
      <c r="M165">
        <v>20</v>
      </c>
      <c r="N165" t="s">
        <v>28</v>
      </c>
      <c r="O165" t="s">
        <v>24</v>
      </c>
      <c r="P165" t="s">
        <v>51</v>
      </c>
      <c r="Q165" t="s">
        <v>46</v>
      </c>
    </row>
    <row r="166" spans="1:17" x14ac:dyDescent="0.35">
      <c r="A166">
        <v>177</v>
      </c>
      <c r="B166">
        <v>20</v>
      </c>
      <c r="C166">
        <v>18</v>
      </c>
      <c r="D166">
        <v>1</v>
      </c>
      <c r="E166" s="1">
        <v>46288.645833333343</v>
      </c>
      <c r="F166">
        <v>6</v>
      </c>
      <c r="G166">
        <v>48</v>
      </c>
      <c r="H166" t="s">
        <v>22</v>
      </c>
      <c r="I166" t="s">
        <v>31</v>
      </c>
      <c r="J166">
        <v>8</v>
      </c>
      <c r="K166">
        <v>2026</v>
      </c>
      <c r="L166">
        <v>9</v>
      </c>
      <c r="M166">
        <v>15</v>
      </c>
      <c r="N166" t="s">
        <v>19</v>
      </c>
      <c r="O166" t="s">
        <v>13</v>
      </c>
      <c r="P166" t="s">
        <v>47</v>
      </c>
      <c r="Q166" t="s">
        <v>40</v>
      </c>
    </row>
    <row r="167" spans="1:17" x14ac:dyDescent="0.35">
      <c r="A167">
        <v>178</v>
      </c>
      <c r="B167">
        <v>20</v>
      </c>
      <c r="C167">
        <v>5</v>
      </c>
      <c r="D167">
        <v>9</v>
      </c>
      <c r="E167" s="1">
        <v>46253.833333333343</v>
      </c>
      <c r="F167">
        <v>4</v>
      </c>
      <c r="G167">
        <v>32</v>
      </c>
      <c r="H167" t="s">
        <v>22</v>
      </c>
      <c r="I167" t="s">
        <v>31</v>
      </c>
      <c r="J167">
        <v>8</v>
      </c>
      <c r="K167">
        <v>2026</v>
      </c>
      <c r="L167">
        <v>8</v>
      </c>
      <c r="M167">
        <v>20</v>
      </c>
      <c r="N167" t="s">
        <v>19</v>
      </c>
      <c r="O167" t="s">
        <v>13</v>
      </c>
      <c r="P167" t="s">
        <v>53</v>
      </c>
      <c r="Q167" t="s">
        <v>30</v>
      </c>
    </row>
    <row r="168" spans="1:17" x14ac:dyDescent="0.35">
      <c r="A168">
        <v>179</v>
      </c>
      <c r="B168">
        <v>12</v>
      </c>
      <c r="C168">
        <v>14</v>
      </c>
      <c r="D168">
        <v>1</v>
      </c>
      <c r="E168" s="1">
        <v>46097.958333333343</v>
      </c>
      <c r="F168">
        <v>4</v>
      </c>
      <c r="G168">
        <v>36</v>
      </c>
      <c r="H168" t="s">
        <v>22</v>
      </c>
      <c r="I168" t="s">
        <v>18</v>
      </c>
      <c r="J168">
        <v>9</v>
      </c>
      <c r="K168">
        <v>2026</v>
      </c>
      <c r="L168">
        <v>3</v>
      </c>
      <c r="M168">
        <v>23</v>
      </c>
      <c r="N168" t="s">
        <v>33</v>
      </c>
      <c r="O168" t="s">
        <v>13</v>
      </c>
      <c r="P168" t="s">
        <v>29</v>
      </c>
      <c r="Q168" t="s">
        <v>40</v>
      </c>
    </row>
    <row r="169" spans="1:17" x14ac:dyDescent="0.35">
      <c r="A169">
        <v>180</v>
      </c>
      <c r="B169">
        <v>9</v>
      </c>
      <c r="C169">
        <v>18</v>
      </c>
      <c r="D169">
        <v>3</v>
      </c>
      <c r="E169" s="1">
        <v>46055.958333333343</v>
      </c>
      <c r="F169">
        <v>3</v>
      </c>
      <c r="G169">
        <v>27</v>
      </c>
      <c r="H169" t="s">
        <v>22</v>
      </c>
      <c r="I169" t="s">
        <v>18</v>
      </c>
      <c r="J169">
        <v>9</v>
      </c>
      <c r="K169">
        <v>2026</v>
      </c>
      <c r="L169">
        <v>2</v>
      </c>
      <c r="M169">
        <v>23</v>
      </c>
      <c r="N169" t="s">
        <v>33</v>
      </c>
      <c r="O169" t="s">
        <v>13</v>
      </c>
      <c r="P169" t="s">
        <v>47</v>
      </c>
      <c r="Q169" t="s">
        <v>45</v>
      </c>
    </row>
    <row r="170" spans="1:17" x14ac:dyDescent="0.35">
      <c r="A170">
        <v>181</v>
      </c>
      <c r="B170">
        <v>4</v>
      </c>
      <c r="C170">
        <v>11</v>
      </c>
      <c r="D170">
        <v>2</v>
      </c>
      <c r="E170" s="1">
        <v>46117.895833333343</v>
      </c>
      <c r="F170">
        <v>6</v>
      </c>
      <c r="G170">
        <v>60</v>
      </c>
      <c r="H170" t="s">
        <v>17</v>
      </c>
      <c r="I170" t="s">
        <v>27</v>
      </c>
      <c r="J170">
        <v>10</v>
      </c>
      <c r="K170">
        <v>2026</v>
      </c>
      <c r="L170">
        <v>4</v>
      </c>
      <c r="M170">
        <v>21</v>
      </c>
      <c r="N170" t="s">
        <v>28</v>
      </c>
      <c r="O170" t="s">
        <v>24</v>
      </c>
      <c r="P170" t="s">
        <v>59</v>
      </c>
      <c r="Q170" t="s">
        <v>54</v>
      </c>
    </row>
    <row r="171" spans="1:17" x14ac:dyDescent="0.35">
      <c r="A171">
        <v>182</v>
      </c>
      <c r="B171">
        <v>9</v>
      </c>
      <c r="C171">
        <v>1</v>
      </c>
      <c r="D171">
        <v>1</v>
      </c>
      <c r="E171" s="1">
        <v>46183.770833333343</v>
      </c>
      <c r="F171">
        <v>1</v>
      </c>
      <c r="G171">
        <v>8</v>
      </c>
      <c r="H171" t="s">
        <v>22</v>
      </c>
      <c r="I171" t="s">
        <v>18</v>
      </c>
      <c r="J171">
        <v>8</v>
      </c>
      <c r="K171">
        <v>2026</v>
      </c>
      <c r="L171">
        <v>6</v>
      </c>
      <c r="M171">
        <v>18</v>
      </c>
      <c r="N171" t="s">
        <v>19</v>
      </c>
      <c r="O171" t="s">
        <v>13</v>
      </c>
      <c r="P171" t="s">
        <v>39</v>
      </c>
      <c r="Q171" t="s">
        <v>40</v>
      </c>
    </row>
    <row r="172" spans="1:17" x14ac:dyDescent="0.35">
      <c r="A172">
        <v>183</v>
      </c>
      <c r="B172">
        <v>13</v>
      </c>
      <c r="C172">
        <v>6</v>
      </c>
      <c r="D172">
        <v>2</v>
      </c>
      <c r="E172" s="1">
        <v>46084.833333333343</v>
      </c>
      <c r="F172">
        <v>4</v>
      </c>
      <c r="G172">
        <v>32</v>
      </c>
      <c r="H172" t="s">
        <v>22</v>
      </c>
      <c r="I172" t="s">
        <v>27</v>
      </c>
      <c r="J172">
        <v>8</v>
      </c>
      <c r="K172">
        <v>2026</v>
      </c>
      <c r="L172">
        <v>3</v>
      </c>
      <c r="M172">
        <v>20</v>
      </c>
      <c r="N172" t="s">
        <v>37</v>
      </c>
      <c r="O172" t="s">
        <v>13</v>
      </c>
      <c r="P172" t="s">
        <v>52</v>
      </c>
      <c r="Q172" t="s">
        <v>54</v>
      </c>
    </row>
    <row r="173" spans="1:17" x14ac:dyDescent="0.35">
      <c r="A173">
        <v>184</v>
      </c>
      <c r="B173">
        <v>6</v>
      </c>
      <c r="C173">
        <v>8</v>
      </c>
      <c r="D173">
        <v>7</v>
      </c>
      <c r="E173" s="1">
        <v>46273.833333333343</v>
      </c>
      <c r="F173">
        <v>2</v>
      </c>
      <c r="G173">
        <v>16</v>
      </c>
      <c r="H173" t="s">
        <v>22</v>
      </c>
      <c r="I173" t="s">
        <v>18</v>
      </c>
      <c r="J173">
        <v>8</v>
      </c>
      <c r="K173">
        <v>2026</v>
      </c>
      <c r="L173">
        <v>9</v>
      </c>
      <c r="M173">
        <v>20</v>
      </c>
      <c r="N173" t="s">
        <v>37</v>
      </c>
      <c r="O173" t="s">
        <v>13</v>
      </c>
      <c r="P173" t="s">
        <v>42</v>
      </c>
      <c r="Q173" t="s">
        <v>35</v>
      </c>
    </row>
    <row r="174" spans="1:17" x14ac:dyDescent="0.35">
      <c r="A174">
        <v>185</v>
      </c>
      <c r="B174">
        <v>20</v>
      </c>
      <c r="C174">
        <v>18</v>
      </c>
      <c r="D174">
        <v>4</v>
      </c>
      <c r="E174" s="1">
        <v>46160.645833333343</v>
      </c>
      <c r="F174">
        <v>6</v>
      </c>
      <c r="G174">
        <v>48</v>
      </c>
      <c r="H174" t="s">
        <v>22</v>
      </c>
      <c r="I174" t="s">
        <v>27</v>
      </c>
      <c r="J174">
        <v>8</v>
      </c>
      <c r="K174">
        <v>2026</v>
      </c>
      <c r="L174">
        <v>5</v>
      </c>
      <c r="M174">
        <v>15</v>
      </c>
      <c r="N174" t="s">
        <v>33</v>
      </c>
      <c r="O174" t="s">
        <v>13</v>
      </c>
      <c r="P174" t="s">
        <v>47</v>
      </c>
      <c r="Q174" t="s">
        <v>26</v>
      </c>
    </row>
    <row r="175" spans="1:17" x14ac:dyDescent="0.35">
      <c r="A175">
        <v>186</v>
      </c>
      <c r="B175">
        <v>20</v>
      </c>
      <c r="C175">
        <v>2</v>
      </c>
      <c r="D175">
        <v>1</v>
      </c>
      <c r="E175" s="1">
        <v>46367.604166666657</v>
      </c>
      <c r="F175">
        <v>2</v>
      </c>
      <c r="G175">
        <v>16</v>
      </c>
      <c r="H175" t="s">
        <v>22</v>
      </c>
      <c r="I175" t="s">
        <v>31</v>
      </c>
      <c r="J175">
        <v>8</v>
      </c>
      <c r="K175">
        <v>2026</v>
      </c>
      <c r="L175">
        <v>12</v>
      </c>
      <c r="M175">
        <v>14</v>
      </c>
      <c r="N175" t="s">
        <v>43</v>
      </c>
      <c r="O175" t="s">
        <v>13</v>
      </c>
      <c r="P175" t="s">
        <v>44</v>
      </c>
      <c r="Q175" t="s">
        <v>40</v>
      </c>
    </row>
    <row r="176" spans="1:17" x14ac:dyDescent="0.35">
      <c r="A176">
        <v>187</v>
      </c>
      <c r="B176">
        <v>15</v>
      </c>
      <c r="C176">
        <v>6</v>
      </c>
      <c r="D176">
        <v>3</v>
      </c>
      <c r="E176" s="1">
        <v>46304.791666666657</v>
      </c>
      <c r="F176">
        <v>1</v>
      </c>
      <c r="G176">
        <v>8</v>
      </c>
      <c r="H176" t="s">
        <v>22</v>
      </c>
      <c r="I176" t="s">
        <v>31</v>
      </c>
      <c r="J176">
        <v>8</v>
      </c>
      <c r="K176">
        <v>2026</v>
      </c>
      <c r="L176">
        <v>10</v>
      </c>
      <c r="M176">
        <v>19</v>
      </c>
      <c r="N176" t="s">
        <v>43</v>
      </c>
      <c r="O176" t="s">
        <v>13</v>
      </c>
      <c r="P176" t="s">
        <v>52</v>
      </c>
      <c r="Q176" t="s">
        <v>45</v>
      </c>
    </row>
    <row r="177" spans="1:17" x14ac:dyDescent="0.35">
      <c r="A177">
        <v>188</v>
      </c>
      <c r="B177">
        <v>1</v>
      </c>
      <c r="C177">
        <v>16</v>
      </c>
      <c r="D177">
        <v>4</v>
      </c>
      <c r="E177" s="1">
        <v>46088.583333333343</v>
      </c>
      <c r="F177">
        <v>5</v>
      </c>
      <c r="G177">
        <v>45</v>
      </c>
      <c r="H177" t="s">
        <v>22</v>
      </c>
      <c r="I177" t="s">
        <v>31</v>
      </c>
      <c r="J177">
        <v>9</v>
      </c>
      <c r="K177">
        <v>2026</v>
      </c>
      <c r="L177">
        <v>3</v>
      </c>
      <c r="M177">
        <v>14</v>
      </c>
      <c r="N177" t="s">
        <v>23</v>
      </c>
      <c r="O177" t="s">
        <v>24</v>
      </c>
      <c r="P177" t="s">
        <v>51</v>
      </c>
      <c r="Q177" t="s">
        <v>26</v>
      </c>
    </row>
    <row r="178" spans="1:17" x14ac:dyDescent="0.35">
      <c r="A178">
        <v>189</v>
      </c>
      <c r="B178">
        <v>15</v>
      </c>
      <c r="C178">
        <v>13</v>
      </c>
      <c r="D178">
        <v>1</v>
      </c>
      <c r="E178" s="1">
        <v>46033.729166666657</v>
      </c>
      <c r="F178">
        <v>2</v>
      </c>
      <c r="G178">
        <v>18</v>
      </c>
      <c r="H178" t="s">
        <v>22</v>
      </c>
      <c r="I178" t="s">
        <v>31</v>
      </c>
      <c r="J178">
        <v>9</v>
      </c>
      <c r="K178">
        <v>2026</v>
      </c>
      <c r="L178">
        <v>1</v>
      </c>
      <c r="M178">
        <v>17</v>
      </c>
      <c r="N178" t="s">
        <v>28</v>
      </c>
      <c r="O178" t="s">
        <v>24</v>
      </c>
      <c r="P178" t="s">
        <v>49</v>
      </c>
      <c r="Q178" t="s">
        <v>40</v>
      </c>
    </row>
    <row r="179" spans="1:17" x14ac:dyDescent="0.35">
      <c r="A179">
        <v>190</v>
      </c>
      <c r="B179">
        <v>11</v>
      </c>
      <c r="C179">
        <v>11</v>
      </c>
      <c r="D179">
        <v>6</v>
      </c>
      <c r="E179" s="1">
        <v>46066.895833333343</v>
      </c>
      <c r="F179">
        <v>6</v>
      </c>
      <c r="G179">
        <v>54</v>
      </c>
      <c r="H179" t="s">
        <v>22</v>
      </c>
      <c r="I179" t="s">
        <v>27</v>
      </c>
      <c r="J179">
        <v>9</v>
      </c>
      <c r="K179">
        <v>2026</v>
      </c>
      <c r="L179">
        <v>2</v>
      </c>
      <c r="M179">
        <v>21</v>
      </c>
      <c r="N179" t="s">
        <v>43</v>
      </c>
      <c r="O179" t="s">
        <v>13</v>
      </c>
      <c r="P179" t="s">
        <v>59</v>
      </c>
      <c r="Q179" t="s">
        <v>21</v>
      </c>
    </row>
    <row r="180" spans="1:17" x14ac:dyDescent="0.35">
      <c r="A180">
        <v>191</v>
      </c>
      <c r="B180">
        <v>19</v>
      </c>
      <c r="C180">
        <v>1</v>
      </c>
      <c r="D180">
        <v>8</v>
      </c>
      <c r="E180" s="1">
        <v>46205.770833333343</v>
      </c>
      <c r="F180">
        <v>6</v>
      </c>
      <c r="G180">
        <v>48</v>
      </c>
      <c r="H180" t="s">
        <v>22</v>
      </c>
      <c r="I180" t="s">
        <v>31</v>
      </c>
      <c r="J180">
        <v>8</v>
      </c>
      <c r="K180">
        <v>2026</v>
      </c>
      <c r="L180">
        <v>7</v>
      </c>
      <c r="M180">
        <v>18</v>
      </c>
      <c r="N180" t="s">
        <v>41</v>
      </c>
      <c r="O180" t="s">
        <v>13</v>
      </c>
      <c r="P180" t="s">
        <v>39</v>
      </c>
      <c r="Q180" t="s">
        <v>46</v>
      </c>
    </row>
    <row r="181" spans="1:17" x14ac:dyDescent="0.35">
      <c r="A181">
        <v>192</v>
      </c>
      <c r="B181">
        <v>16</v>
      </c>
      <c r="C181">
        <v>18</v>
      </c>
      <c r="D181">
        <v>9</v>
      </c>
      <c r="E181" s="1">
        <v>46131.958333333343</v>
      </c>
      <c r="F181">
        <v>1</v>
      </c>
      <c r="G181">
        <v>10</v>
      </c>
      <c r="H181" t="s">
        <v>22</v>
      </c>
      <c r="I181" t="s">
        <v>27</v>
      </c>
      <c r="J181">
        <v>10</v>
      </c>
      <c r="K181">
        <v>2026</v>
      </c>
      <c r="L181">
        <v>4</v>
      </c>
      <c r="M181">
        <v>23</v>
      </c>
      <c r="N181" t="s">
        <v>28</v>
      </c>
      <c r="O181" t="s">
        <v>24</v>
      </c>
      <c r="P181" t="s">
        <v>47</v>
      </c>
      <c r="Q181" t="s">
        <v>30</v>
      </c>
    </row>
    <row r="182" spans="1:17" x14ac:dyDescent="0.35">
      <c r="A182">
        <v>193</v>
      </c>
      <c r="B182">
        <v>20</v>
      </c>
      <c r="C182">
        <v>8</v>
      </c>
      <c r="D182">
        <v>9</v>
      </c>
      <c r="E182" s="1">
        <v>46192.6875</v>
      </c>
      <c r="F182">
        <v>1</v>
      </c>
      <c r="G182">
        <v>8</v>
      </c>
      <c r="H182" t="s">
        <v>22</v>
      </c>
      <c r="I182" t="s">
        <v>31</v>
      </c>
      <c r="J182">
        <v>8</v>
      </c>
      <c r="K182">
        <v>2026</v>
      </c>
      <c r="L182">
        <v>6</v>
      </c>
      <c r="M182">
        <v>16</v>
      </c>
      <c r="N182" t="s">
        <v>43</v>
      </c>
      <c r="O182" t="s">
        <v>13</v>
      </c>
      <c r="P182" t="s">
        <v>42</v>
      </c>
      <c r="Q182" t="s">
        <v>30</v>
      </c>
    </row>
    <row r="183" spans="1:17" x14ac:dyDescent="0.35">
      <c r="A183">
        <v>194</v>
      </c>
      <c r="B183">
        <v>15</v>
      </c>
      <c r="C183">
        <v>3</v>
      </c>
      <c r="D183">
        <v>3</v>
      </c>
      <c r="E183" s="1">
        <v>46127.833333333343</v>
      </c>
      <c r="F183">
        <v>2</v>
      </c>
      <c r="G183">
        <v>16</v>
      </c>
      <c r="H183" t="s">
        <v>22</v>
      </c>
      <c r="I183" t="s">
        <v>18</v>
      </c>
      <c r="J183">
        <v>8</v>
      </c>
      <c r="K183">
        <v>2026</v>
      </c>
      <c r="L183">
        <v>4</v>
      </c>
      <c r="M183">
        <v>20</v>
      </c>
      <c r="N183" t="s">
        <v>19</v>
      </c>
      <c r="O183" t="s">
        <v>13</v>
      </c>
      <c r="P183" t="s">
        <v>20</v>
      </c>
      <c r="Q183" t="s">
        <v>45</v>
      </c>
    </row>
    <row r="184" spans="1:17" x14ac:dyDescent="0.35">
      <c r="A184">
        <v>195</v>
      </c>
      <c r="B184">
        <v>14</v>
      </c>
      <c r="C184">
        <v>20</v>
      </c>
      <c r="D184">
        <v>5</v>
      </c>
      <c r="E184" s="1">
        <v>46230.666666666657</v>
      </c>
      <c r="F184">
        <v>1</v>
      </c>
      <c r="G184">
        <v>8</v>
      </c>
      <c r="H184" t="s">
        <v>22</v>
      </c>
      <c r="I184" t="s">
        <v>27</v>
      </c>
      <c r="J184">
        <v>8</v>
      </c>
      <c r="K184">
        <v>2026</v>
      </c>
      <c r="L184">
        <v>7</v>
      </c>
      <c r="M184">
        <v>16</v>
      </c>
      <c r="N184" t="s">
        <v>33</v>
      </c>
      <c r="O184" t="s">
        <v>13</v>
      </c>
      <c r="P184" t="s">
        <v>36</v>
      </c>
      <c r="Q184" t="s">
        <v>50</v>
      </c>
    </row>
    <row r="185" spans="1:17" x14ac:dyDescent="0.35">
      <c r="A185">
        <v>196</v>
      </c>
      <c r="B185">
        <v>10</v>
      </c>
      <c r="C185">
        <v>7</v>
      </c>
      <c r="D185">
        <v>6</v>
      </c>
      <c r="E185" s="1">
        <v>46372.625</v>
      </c>
      <c r="F185">
        <v>4</v>
      </c>
      <c r="G185">
        <v>32</v>
      </c>
      <c r="H185" t="s">
        <v>22</v>
      </c>
      <c r="I185" t="s">
        <v>27</v>
      </c>
      <c r="J185">
        <v>8</v>
      </c>
      <c r="K185">
        <v>2026</v>
      </c>
      <c r="L185">
        <v>12</v>
      </c>
      <c r="M185">
        <v>15</v>
      </c>
      <c r="N185" t="s">
        <v>19</v>
      </c>
      <c r="O185" t="s">
        <v>13</v>
      </c>
      <c r="P185" t="s">
        <v>34</v>
      </c>
      <c r="Q185" t="s">
        <v>21</v>
      </c>
    </row>
    <row r="186" spans="1:17" x14ac:dyDescent="0.35">
      <c r="A186">
        <v>197</v>
      </c>
      <c r="B186">
        <v>12</v>
      </c>
      <c r="C186">
        <v>16</v>
      </c>
      <c r="D186">
        <v>5</v>
      </c>
      <c r="E186" s="1">
        <v>46291.895833333343</v>
      </c>
      <c r="F186">
        <v>3</v>
      </c>
      <c r="G186">
        <v>30</v>
      </c>
      <c r="H186" t="s">
        <v>17</v>
      </c>
      <c r="I186" t="s">
        <v>27</v>
      </c>
      <c r="J186">
        <v>10</v>
      </c>
      <c r="K186">
        <v>2026</v>
      </c>
      <c r="L186">
        <v>9</v>
      </c>
      <c r="M186">
        <v>21</v>
      </c>
      <c r="N186" t="s">
        <v>23</v>
      </c>
      <c r="O186" t="s">
        <v>24</v>
      </c>
      <c r="P186" t="s">
        <v>51</v>
      </c>
      <c r="Q186" t="s">
        <v>50</v>
      </c>
    </row>
    <row r="187" spans="1:17" x14ac:dyDescent="0.35">
      <c r="A187">
        <v>198</v>
      </c>
      <c r="B187">
        <v>15</v>
      </c>
      <c r="C187">
        <v>20</v>
      </c>
      <c r="D187">
        <v>10</v>
      </c>
      <c r="E187" s="1">
        <v>46158.958333333343</v>
      </c>
      <c r="F187">
        <v>2</v>
      </c>
      <c r="G187">
        <v>20</v>
      </c>
      <c r="H187" t="s">
        <v>22</v>
      </c>
      <c r="I187" t="s">
        <v>18</v>
      </c>
      <c r="J187">
        <v>10</v>
      </c>
      <c r="K187">
        <v>2026</v>
      </c>
      <c r="L187">
        <v>5</v>
      </c>
      <c r="M187">
        <v>23</v>
      </c>
      <c r="N187" t="s">
        <v>23</v>
      </c>
      <c r="O187" t="s">
        <v>24</v>
      </c>
      <c r="P187" t="s">
        <v>36</v>
      </c>
      <c r="Q187" t="s">
        <v>32</v>
      </c>
    </row>
    <row r="188" spans="1:17" x14ac:dyDescent="0.35">
      <c r="A188">
        <v>199</v>
      </c>
      <c r="B188">
        <v>7</v>
      </c>
      <c r="C188">
        <v>16</v>
      </c>
      <c r="D188">
        <v>3</v>
      </c>
      <c r="E188" s="1">
        <v>46158.708333333343</v>
      </c>
      <c r="F188">
        <v>3</v>
      </c>
      <c r="G188">
        <v>27</v>
      </c>
      <c r="H188" t="s">
        <v>22</v>
      </c>
      <c r="I188" t="s">
        <v>18</v>
      </c>
      <c r="J188">
        <v>9</v>
      </c>
      <c r="K188">
        <v>2026</v>
      </c>
      <c r="L188">
        <v>5</v>
      </c>
      <c r="M188">
        <v>17</v>
      </c>
      <c r="N188" t="s">
        <v>23</v>
      </c>
      <c r="O188" t="s">
        <v>24</v>
      </c>
      <c r="P188" t="s">
        <v>51</v>
      </c>
      <c r="Q188" t="s">
        <v>45</v>
      </c>
    </row>
    <row r="189" spans="1:17" x14ac:dyDescent="0.35">
      <c r="A189">
        <v>200</v>
      </c>
      <c r="B189">
        <v>12</v>
      </c>
      <c r="C189">
        <v>20</v>
      </c>
      <c r="D189">
        <v>5</v>
      </c>
      <c r="E189" s="1">
        <v>46324.625</v>
      </c>
      <c r="F189">
        <v>3</v>
      </c>
      <c r="G189">
        <v>24</v>
      </c>
      <c r="H189" t="s">
        <v>22</v>
      </c>
      <c r="I189" t="s">
        <v>31</v>
      </c>
      <c r="J189">
        <v>8</v>
      </c>
      <c r="K189">
        <v>2026</v>
      </c>
      <c r="L189">
        <v>10</v>
      </c>
      <c r="M189">
        <v>15</v>
      </c>
      <c r="N189" t="s">
        <v>41</v>
      </c>
      <c r="O189" t="s">
        <v>13</v>
      </c>
      <c r="P189" t="s">
        <v>36</v>
      </c>
      <c r="Q189" t="s">
        <v>50</v>
      </c>
    </row>
    <row r="190" spans="1:17" x14ac:dyDescent="0.35">
      <c r="A190">
        <v>201</v>
      </c>
      <c r="B190">
        <v>13</v>
      </c>
      <c r="C190">
        <v>3</v>
      </c>
      <c r="D190">
        <v>5</v>
      </c>
      <c r="E190" s="1">
        <v>46347.791666666657</v>
      </c>
      <c r="F190">
        <v>3</v>
      </c>
      <c r="G190">
        <v>27</v>
      </c>
      <c r="H190" t="s">
        <v>22</v>
      </c>
      <c r="I190" t="s">
        <v>31</v>
      </c>
      <c r="J190">
        <v>9</v>
      </c>
      <c r="K190">
        <v>2026</v>
      </c>
      <c r="L190">
        <v>11</v>
      </c>
      <c r="M190">
        <v>19</v>
      </c>
      <c r="N190" t="s">
        <v>23</v>
      </c>
      <c r="O190" t="s">
        <v>24</v>
      </c>
      <c r="P190" t="s">
        <v>20</v>
      </c>
      <c r="Q190" t="s">
        <v>50</v>
      </c>
    </row>
    <row r="191" spans="1:17" x14ac:dyDescent="0.35">
      <c r="A191">
        <v>202</v>
      </c>
      <c r="B191">
        <v>10</v>
      </c>
      <c r="C191">
        <v>10</v>
      </c>
      <c r="D191">
        <v>8</v>
      </c>
      <c r="E191" s="1">
        <v>46039.770833333343</v>
      </c>
      <c r="F191">
        <v>3</v>
      </c>
      <c r="G191">
        <v>27</v>
      </c>
      <c r="H191" t="s">
        <v>22</v>
      </c>
      <c r="I191" t="s">
        <v>18</v>
      </c>
      <c r="J191">
        <v>9</v>
      </c>
      <c r="K191">
        <v>2026</v>
      </c>
      <c r="L191">
        <v>1</v>
      </c>
      <c r="M191">
        <v>18</v>
      </c>
      <c r="N191" t="s">
        <v>23</v>
      </c>
      <c r="O191" t="s">
        <v>24</v>
      </c>
      <c r="P191" t="s">
        <v>25</v>
      </c>
      <c r="Q191" t="s">
        <v>46</v>
      </c>
    </row>
    <row r="192" spans="1:17" x14ac:dyDescent="0.35">
      <c r="A192">
        <v>203</v>
      </c>
      <c r="B192">
        <v>10</v>
      </c>
      <c r="C192">
        <v>1</v>
      </c>
      <c r="D192">
        <v>3</v>
      </c>
      <c r="E192" s="1">
        <v>46264.9375</v>
      </c>
      <c r="F192">
        <v>3</v>
      </c>
      <c r="G192">
        <v>30</v>
      </c>
      <c r="H192" t="s">
        <v>22</v>
      </c>
      <c r="I192" t="s">
        <v>31</v>
      </c>
      <c r="J192">
        <v>10</v>
      </c>
      <c r="K192">
        <v>2026</v>
      </c>
      <c r="L192">
        <v>8</v>
      </c>
      <c r="M192">
        <v>22</v>
      </c>
      <c r="N192" t="s">
        <v>28</v>
      </c>
      <c r="O192" t="s">
        <v>24</v>
      </c>
      <c r="P192" t="s">
        <v>39</v>
      </c>
      <c r="Q192" t="s">
        <v>45</v>
      </c>
    </row>
    <row r="193" spans="1:17" x14ac:dyDescent="0.35">
      <c r="A193">
        <v>204</v>
      </c>
      <c r="B193">
        <v>5</v>
      </c>
      <c r="C193">
        <v>6</v>
      </c>
      <c r="D193">
        <v>8</v>
      </c>
      <c r="E193" s="1">
        <v>46196.916666666657</v>
      </c>
      <c r="F193">
        <v>3</v>
      </c>
      <c r="G193">
        <v>27</v>
      </c>
      <c r="H193" t="s">
        <v>22</v>
      </c>
      <c r="I193" t="s">
        <v>27</v>
      </c>
      <c r="J193">
        <v>9</v>
      </c>
      <c r="K193">
        <v>2026</v>
      </c>
      <c r="L193">
        <v>6</v>
      </c>
      <c r="M193">
        <v>22</v>
      </c>
      <c r="N193" t="s">
        <v>37</v>
      </c>
      <c r="O193" t="s">
        <v>13</v>
      </c>
      <c r="P193" t="s">
        <v>52</v>
      </c>
      <c r="Q193" t="s">
        <v>46</v>
      </c>
    </row>
    <row r="194" spans="1:17" x14ac:dyDescent="0.35">
      <c r="A194">
        <v>205</v>
      </c>
      <c r="B194">
        <v>14</v>
      </c>
      <c r="C194">
        <v>6</v>
      </c>
      <c r="D194">
        <v>2</v>
      </c>
      <c r="E194" s="1">
        <v>46182.666666666657</v>
      </c>
      <c r="F194">
        <v>3</v>
      </c>
      <c r="G194">
        <v>24</v>
      </c>
      <c r="H194" t="s">
        <v>22</v>
      </c>
      <c r="I194" t="s">
        <v>27</v>
      </c>
      <c r="J194">
        <v>8</v>
      </c>
      <c r="K194">
        <v>2026</v>
      </c>
      <c r="L194">
        <v>6</v>
      </c>
      <c r="M194">
        <v>16</v>
      </c>
      <c r="N194" t="s">
        <v>37</v>
      </c>
      <c r="O194" t="s">
        <v>13</v>
      </c>
      <c r="P194" t="s">
        <v>52</v>
      </c>
      <c r="Q194" t="s">
        <v>54</v>
      </c>
    </row>
    <row r="195" spans="1:17" x14ac:dyDescent="0.35">
      <c r="A195">
        <v>206</v>
      </c>
      <c r="B195">
        <v>17</v>
      </c>
      <c r="C195">
        <v>8</v>
      </c>
      <c r="D195">
        <v>6</v>
      </c>
      <c r="E195" s="1">
        <v>46317.9375</v>
      </c>
      <c r="F195">
        <v>4</v>
      </c>
      <c r="G195">
        <v>36</v>
      </c>
      <c r="H195" t="s">
        <v>22</v>
      </c>
      <c r="I195" t="s">
        <v>18</v>
      </c>
      <c r="J195">
        <v>9</v>
      </c>
      <c r="K195">
        <v>2026</v>
      </c>
      <c r="L195">
        <v>10</v>
      </c>
      <c r="M195">
        <v>22</v>
      </c>
      <c r="N195" t="s">
        <v>41</v>
      </c>
      <c r="O195" t="s">
        <v>13</v>
      </c>
      <c r="P195" t="s">
        <v>42</v>
      </c>
      <c r="Q195" t="s">
        <v>21</v>
      </c>
    </row>
    <row r="196" spans="1:17" x14ac:dyDescent="0.35">
      <c r="A196">
        <v>207</v>
      </c>
      <c r="B196">
        <v>11</v>
      </c>
      <c r="C196">
        <v>2</v>
      </c>
      <c r="D196">
        <v>8</v>
      </c>
      <c r="E196" s="1">
        <v>46360.729166666657</v>
      </c>
      <c r="F196">
        <v>5</v>
      </c>
      <c r="G196">
        <v>40</v>
      </c>
      <c r="H196" t="s">
        <v>22</v>
      </c>
      <c r="I196" t="s">
        <v>31</v>
      </c>
      <c r="J196">
        <v>8</v>
      </c>
      <c r="K196">
        <v>2026</v>
      </c>
      <c r="L196">
        <v>12</v>
      </c>
      <c r="M196">
        <v>17</v>
      </c>
      <c r="N196" t="s">
        <v>43</v>
      </c>
      <c r="O196" t="s">
        <v>13</v>
      </c>
      <c r="P196" t="s">
        <v>44</v>
      </c>
      <c r="Q196" t="s">
        <v>46</v>
      </c>
    </row>
    <row r="197" spans="1:17" x14ac:dyDescent="0.35">
      <c r="A197">
        <v>208</v>
      </c>
      <c r="B197">
        <v>20</v>
      </c>
      <c r="C197">
        <v>13</v>
      </c>
      <c r="D197">
        <v>10</v>
      </c>
      <c r="E197" s="1">
        <v>46221.75</v>
      </c>
      <c r="F197">
        <v>2</v>
      </c>
      <c r="G197">
        <v>18</v>
      </c>
      <c r="H197" t="s">
        <v>22</v>
      </c>
      <c r="I197" t="s">
        <v>18</v>
      </c>
      <c r="J197">
        <v>9</v>
      </c>
      <c r="K197">
        <v>2026</v>
      </c>
      <c r="L197">
        <v>7</v>
      </c>
      <c r="M197">
        <v>18</v>
      </c>
      <c r="N197" t="s">
        <v>23</v>
      </c>
      <c r="O197" t="s">
        <v>24</v>
      </c>
      <c r="P197" t="s">
        <v>49</v>
      </c>
      <c r="Q197" t="s">
        <v>32</v>
      </c>
    </row>
    <row r="198" spans="1:17" x14ac:dyDescent="0.35">
      <c r="A198">
        <v>209</v>
      </c>
      <c r="B198">
        <v>2</v>
      </c>
      <c r="C198">
        <v>7</v>
      </c>
      <c r="D198">
        <v>6</v>
      </c>
      <c r="E198" s="1">
        <v>46141.979166666657</v>
      </c>
      <c r="F198">
        <v>6</v>
      </c>
      <c r="G198">
        <v>54</v>
      </c>
      <c r="H198" t="s">
        <v>22</v>
      </c>
      <c r="I198" t="s">
        <v>27</v>
      </c>
      <c r="J198">
        <v>9</v>
      </c>
      <c r="K198">
        <v>2026</v>
      </c>
      <c r="L198">
        <v>4</v>
      </c>
      <c r="M198">
        <v>23</v>
      </c>
      <c r="N198" t="s">
        <v>19</v>
      </c>
      <c r="O198" t="s">
        <v>13</v>
      </c>
      <c r="P198" t="s">
        <v>34</v>
      </c>
      <c r="Q198" t="s">
        <v>21</v>
      </c>
    </row>
    <row r="199" spans="1:17" x14ac:dyDescent="0.35">
      <c r="A199">
        <v>210</v>
      </c>
      <c r="B199">
        <v>8</v>
      </c>
      <c r="C199">
        <v>12</v>
      </c>
      <c r="D199">
        <v>6</v>
      </c>
      <c r="E199" s="1">
        <v>46241.75</v>
      </c>
      <c r="F199">
        <v>5</v>
      </c>
      <c r="G199">
        <v>40</v>
      </c>
      <c r="H199" t="s">
        <v>17</v>
      </c>
      <c r="I199" t="s">
        <v>18</v>
      </c>
      <c r="J199">
        <v>8</v>
      </c>
      <c r="K199">
        <v>2026</v>
      </c>
      <c r="L199">
        <v>8</v>
      </c>
      <c r="M199">
        <v>18</v>
      </c>
      <c r="N199" t="s">
        <v>43</v>
      </c>
      <c r="O199" t="s">
        <v>13</v>
      </c>
      <c r="P199" t="s">
        <v>57</v>
      </c>
      <c r="Q199" t="s">
        <v>21</v>
      </c>
    </row>
    <row r="200" spans="1:17" x14ac:dyDescent="0.35">
      <c r="A200">
        <v>211</v>
      </c>
      <c r="B200">
        <v>6</v>
      </c>
      <c r="C200">
        <v>7</v>
      </c>
      <c r="D200">
        <v>8</v>
      </c>
      <c r="E200" s="1">
        <v>46179.625</v>
      </c>
      <c r="F200">
        <v>4</v>
      </c>
      <c r="G200">
        <v>36</v>
      </c>
      <c r="H200" t="s">
        <v>22</v>
      </c>
      <c r="I200" t="s">
        <v>18</v>
      </c>
      <c r="J200">
        <v>9</v>
      </c>
      <c r="K200">
        <v>2026</v>
      </c>
      <c r="L200">
        <v>6</v>
      </c>
      <c r="M200">
        <v>15</v>
      </c>
      <c r="N200" t="s">
        <v>23</v>
      </c>
      <c r="O200" t="s">
        <v>24</v>
      </c>
      <c r="P200" t="s">
        <v>34</v>
      </c>
      <c r="Q200" t="s">
        <v>46</v>
      </c>
    </row>
    <row r="201" spans="1:17" x14ac:dyDescent="0.35">
      <c r="A201">
        <v>212</v>
      </c>
      <c r="B201">
        <v>20</v>
      </c>
      <c r="C201">
        <v>1</v>
      </c>
      <c r="D201">
        <v>7</v>
      </c>
      <c r="E201" s="1">
        <v>46074.958333333343</v>
      </c>
      <c r="F201">
        <v>4</v>
      </c>
      <c r="G201">
        <v>40</v>
      </c>
      <c r="H201" t="s">
        <v>22</v>
      </c>
      <c r="I201" t="s">
        <v>27</v>
      </c>
      <c r="J201">
        <v>10</v>
      </c>
      <c r="K201">
        <v>2026</v>
      </c>
      <c r="L201">
        <v>2</v>
      </c>
      <c r="M201">
        <v>23</v>
      </c>
      <c r="N201" t="s">
        <v>23</v>
      </c>
      <c r="O201" t="s">
        <v>24</v>
      </c>
      <c r="P201" t="s">
        <v>39</v>
      </c>
      <c r="Q201" t="s">
        <v>35</v>
      </c>
    </row>
    <row r="202" spans="1:17" x14ac:dyDescent="0.35">
      <c r="A202">
        <v>213</v>
      </c>
      <c r="B202">
        <v>7</v>
      </c>
      <c r="C202">
        <v>4</v>
      </c>
      <c r="D202">
        <v>7</v>
      </c>
      <c r="E202" s="1">
        <v>46068.770833333343</v>
      </c>
      <c r="F202">
        <v>6</v>
      </c>
      <c r="G202">
        <v>54</v>
      </c>
      <c r="H202" t="s">
        <v>22</v>
      </c>
      <c r="I202" t="s">
        <v>27</v>
      </c>
      <c r="J202">
        <v>9</v>
      </c>
      <c r="K202">
        <v>2026</v>
      </c>
      <c r="L202">
        <v>2</v>
      </c>
      <c r="M202">
        <v>18</v>
      </c>
      <c r="N202" t="s">
        <v>28</v>
      </c>
      <c r="O202" t="s">
        <v>24</v>
      </c>
      <c r="P202" t="s">
        <v>55</v>
      </c>
      <c r="Q202" t="s">
        <v>35</v>
      </c>
    </row>
    <row r="203" spans="1:17" x14ac:dyDescent="0.35">
      <c r="A203">
        <v>214</v>
      </c>
      <c r="B203">
        <v>2</v>
      </c>
      <c r="C203">
        <v>20</v>
      </c>
      <c r="D203">
        <v>9</v>
      </c>
      <c r="E203" s="1">
        <v>46362.666666666657</v>
      </c>
      <c r="F203">
        <v>5</v>
      </c>
      <c r="G203">
        <v>45</v>
      </c>
      <c r="H203" t="s">
        <v>22</v>
      </c>
      <c r="I203" t="s">
        <v>27</v>
      </c>
      <c r="J203">
        <v>9</v>
      </c>
      <c r="K203">
        <v>2026</v>
      </c>
      <c r="L203">
        <v>12</v>
      </c>
      <c r="M203">
        <v>16</v>
      </c>
      <c r="N203" t="s">
        <v>28</v>
      </c>
      <c r="O203" t="s">
        <v>24</v>
      </c>
      <c r="P203" t="s">
        <v>36</v>
      </c>
      <c r="Q203" t="s">
        <v>30</v>
      </c>
    </row>
    <row r="204" spans="1:17" x14ac:dyDescent="0.35">
      <c r="A204">
        <v>215</v>
      </c>
      <c r="B204">
        <v>7</v>
      </c>
      <c r="C204">
        <v>16</v>
      </c>
      <c r="D204">
        <v>9</v>
      </c>
      <c r="E204" s="1">
        <v>46080.770833333343</v>
      </c>
      <c r="F204">
        <v>4</v>
      </c>
      <c r="G204">
        <v>32</v>
      </c>
      <c r="H204" t="s">
        <v>22</v>
      </c>
      <c r="I204" t="s">
        <v>31</v>
      </c>
      <c r="J204">
        <v>8</v>
      </c>
      <c r="K204">
        <v>2026</v>
      </c>
      <c r="L204">
        <v>2</v>
      </c>
      <c r="M204">
        <v>18</v>
      </c>
      <c r="N204" t="s">
        <v>43</v>
      </c>
      <c r="O204" t="s">
        <v>13</v>
      </c>
      <c r="P204" t="s">
        <v>51</v>
      </c>
      <c r="Q204" t="s">
        <v>30</v>
      </c>
    </row>
    <row r="205" spans="1:17" x14ac:dyDescent="0.35">
      <c r="A205">
        <v>216</v>
      </c>
      <c r="B205">
        <v>19</v>
      </c>
      <c r="C205">
        <v>3</v>
      </c>
      <c r="D205">
        <v>1</v>
      </c>
      <c r="E205" s="1">
        <v>46036.666666666657</v>
      </c>
      <c r="F205">
        <v>4</v>
      </c>
      <c r="G205">
        <v>32</v>
      </c>
      <c r="H205" t="s">
        <v>17</v>
      </c>
      <c r="I205" t="s">
        <v>18</v>
      </c>
      <c r="J205">
        <v>8</v>
      </c>
      <c r="K205">
        <v>2026</v>
      </c>
      <c r="L205">
        <v>1</v>
      </c>
      <c r="M205">
        <v>16</v>
      </c>
      <c r="N205" t="s">
        <v>19</v>
      </c>
      <c r="O205" t="s">
        <v>13</v>
      </c>
      <c r="P205" t="s">
        <v>20</v>
      </c>
      <c r="Q205" t="s">
        <v>40</v>
      </c>
    </row>
    <row r="206" spans="1:17" x14ac:dyDescent="0.35">
      <c r="A206">
        <v>217</v>
      </c>
      <c r="B206">
        <v>4</v>
      </c>
      <c r="C206">
        <v>14</v>
      </c>
      <c r="D206">
        <v>6</v>
      </c>
      <c r="E206" s="1">
        <v>46063.854166666657</v>
      </c>
      <c r="F206">
        <v>3</v>
      </c>
      <c r="G206">
        <v>24</v>
      </c>
      <c r="H206" t="s">
        <v>22</v>
      </c>
      <c r="I206" t="s">
        <v>18</v>
      </c>
      <c r="J206">
        <v>8</v>
      </c>
      <c r="K206">
        <v>2026</v>
      </c>
      <c r="L206">
        <v>2</v>
      </c>
      <c r="M206">
        <v>20</v>
      </c>
      <c r="N206" t="s">
        <v>37</v>
      </c>
      <c r="O206" t="s">
        <v>13</v>
      </c>
      <c r="P206" t="s">
        <v>29</v>
      </c>
      <c r="Q206" t="s">
        <v>21</v>
      </c>
    </row>
    <row r="207" spans="1:17" x14ac:dyDescent="0.35">
      <c r="A207">
        <v>218</v>
      </c>
      <c r="B207">
        <v>20</v>
      </c>
      <c r="C207">
        <v>17</v>
      </c>
      <c r="D207">
        <v>5</v>
      </c>
      <c r="E207" s="1">
        <v>46370.729166666657</v>
      </c>
      <c r="F207">
        <v>1</v>
      </c>
      <c r="G207">
        <v>8</v>
      </c>
      <c r="H207" t="s">
        <v>22</v>
      </c>
      <c r="I207" t="s">
        <v>18</v>
      </c>
      <c r="J207">
        <v>8</v>
      </c>
      <c r="K207">
        <v>2026</v>
      </c>
      <c r="L207">
        <v>12</v>
      </c>
      <c r="M207">
        <v>17</v>
      </c>
      <c r="N207" t="s">
        <v>33</v>
      </c>
      <c r="O207" t="s">
        <v>13</v>
      </c>
      <c r="P207" t="s">
        <v>56</v>
      </c>
      <c r="Q207" t="s">
        <v>50</v>
      </c>
    </row>
    <row r="208" spans="1:17" x14ac:dyDescent="0.35">
      <c r="A208">
        <v>219</v>
      </c>
      <c r="B208">
        <v>1</v>
      </c>
      <c r="C208">
        <v>13</v>
      </c>
      <c r="D208">
        <v>6</v>
      </c>
      <c r="E208" s="1">
        <v>46131.8125</v>
      </c>
      <c r="F208">
        <v>4</v>
      </c>
      <c r="G208">
        <v>36</v>
      </c>
      <c r="H208" t="s">
        <v>22</v>
      </c>
      <c r="I208" t="s">
        <v>18</v>
      </c>
      <c r="J208">
        <v>9</v>
      </c>
      <c r="K208">
        <v>2026</v>
      </c>
      <c r="L208">
        <v>4</v>
      </c>
      <c r="M208">
        <v>19</v>
      </c>
      <c r="N208" t="s">
        <v>28</v>
      </c>
      <c r="O208" t="s">
        <v>24</v>
      </c>
      <c r="P208" t="s">
        <v>49</v>
      </c>
      <c r="Q208" t="s">
        <v>21</v>
      </c>
    </row>
    <row r="209" spans="1:17" x14ac:dyDescent="0.35">
      <c r="A209">
        <v>220</v>
      </c>
      <c r="B209">
        <v>2</v>
      </c>
      <c r="C209">
        <v>11</v>
      </c>
      <c r="D209">
        <v>6</v>
      </c>
      <c r="E209" s="1">
        <v>46293.791666666657</v>
      </c>
      <c r="F209">
        <v>3</v>
      </c>
      <c r="G209">
        <v>24</v>
      </c>
      <c r="H209" t="s">
        <v>22</v>
      </c>
      <c r="I209" t="s">
        <v>31</v>
      </c>
      <c r="J209">
        <v>8</v>
      </c>
      <c r="K209">
        <v>2026</v>
      </c>
      <c r="L209">
        <v>9</v>
      </c>
      <c r="M209">
        <v>19</v>
      </c>
      <c r="N209" t="s">
        <v>33</v>
      </c>
      <c r="O209" t="s">
        <v>13</v>
      </c>
      <c r="P209" t="s">
        <v>59</v>
      </c>
      <c r="Q209" t="s">
        <v>21</v>
      </c>
    </row>
    <row r="210" spans="1:17" x14ac:dyDescent="0.35">
      <c r="A210">
        <v>221</v>
      </c>
      <c r="B210">
        <v>2</v>
      </c>
      <c r="C210">
        <v>9</v>
      </c>
      <c r="D210">
        <v>4</v>
      </c>
      <c r="E210" s="1">
        <v>46152.604166666657</v>
      </c>
      <c r="F210">
        <v>2</v>
      </c>
      <c r="G210">
        <v>18</v>
      </c>
      <c r="H210" t="s">
        <v>22</v>
      </c>
      <c r="I210" t="s">
        <v>27</v>
      </c>
      <c r="J210">
        <v>9</v>
      </c>
      <c r="K210">
        <v>2026</v>
      </c>
      <c r="L210">
        <v>5</v>
      </c>
      <c r="M210">
        <v>14</v>
      </c>
      <c r="N210" t="s">
        <v>28</v>
      </c>
      <c r="O210" t="s">
        <v>24</v>
      </c>
      <c r="P210" t="s">
        <v>48</v>
      </c>
      <c r="Q210" t="s">
        <v>26</v>
      </c>
    </row>
    <row r="211" spans="1:17" x14ac:dyDescent="0.35">
      <c r="A211">
        <v>222</v>
      </c>
      <c r="B211">
        <v>18</v>
      </c>
      <c r="C211">
        <v>15</v>
      </c>
      <c r="D211">
        <v>4</v>
      </c>
      <c r="E211" s="1">
        <v>46153.958333333343</v>
      </c>
      <c r="F211">
        <v>1</v>
      </c>
      <c r="G211">
        <v>9</v>
      </c>
      <c r="H211" t="s">
        <v>22</v>
      </c>
      <c r="I211" t="s">
        <v>31</v>
      </c>
      <c r="J211">
        <v>9</v>
      </c>
      <c r="K211">
        <v>2026</v>
      </c>
      <c r="L211">
        <v>5</v>
      </c>
      <c r="M211">
        <v>23</v>
      </c>
      <c r="N211" t="s">
        <v>33</v>
      </c>
      <c r="O211" t="s">
        <v>13</v>
      </c>
      <c r="P211" t="s">
        <v>38</v>
      </c>
      <c r="Q211" t="s">
        <v>26</v>
      </c>
    </row>
    <row r="212" spans="1:17" x14ac:dyDescent="0.35">
      <c r="A212">
        <v>223</v>
      </c>
      <c r="B212">
        <v>12</v>
      </c>
      <c r="C212">
        <v>10</v>
      </c>
      <c r="D212">
        <v>8</v>
      </c>
      <c r="E212" s="1">
        <v>46145.75</v>
      </c>
      <c r="F212">
        <v>1</v>
      </c>
      <c r="G212">
        <v>9</v>
      </c>
      <c r="H212" t="s">
        <v>22</v>
      </c>
      <c r="I212" t="s">
        <v>18</v>
      </c>
      <c r="J212">
        <v>9</v>
      </c>
      <c r="K212">
        <v>2026</v>
      </c>
      <c r="L212">
        <v>5</v>
      </c>
      <c r="M212">
        <v>18</v>
      </c>
      <c r="N212" t="s">
        <v>28</v>
      </c>
      <c r="O212" t="s">
        <v>24</v>
      </c>
      <c r="P212" t="s">
        <v>25</v>
      </c>
      <c r="Q212" t="s">
        <v>46</v>
      </c>
    </row>
    <row r="213" spans="1:17" x14ac:dyDescent="0.35">
      <c r="A213">
        <v>224</v>
      </c>
      <c r="B213">
        <v>11</v>
      </c>
      <c r="C213">
        <v>1</v>
      </c>
      <c r="D213">
        <v>4</v>
      </c>
      <c r="E213" s="1">
        <v>46062.895833333343</v>
      </c>
      <c r="F213">
        <v>1</v>
      </c>
      <c r="G213">
        <v>9</v>
      </c>
      <c r="H213" t="s">
        <v>22</v>
      </c>
      <c r="I213" t="s">
        <v>31</v>
      </c>
      <c r="J213">
        <v>9</v>
      </c>
      <c r="K213">
        <v>2026</v>
      </c>
      <c r="L213">
        <v>2</v>
      </c>
      <c r="M213">
        <v>21</v>
      </c>
      <c r="N213" t="s">
        <v>33</v>
      </c>
      <c r="O213" t="s">
        <v>13</v>
      </c>
      <c r="P213" t="s">
        <v>39</v>
      </c>
      <c r="Q213" t="s">
        <v>26</v>
      </c>
    </row>
    <row r="214" spans="1:17" x14ac:dyDescent="0.35">
      <c r="A214">
        <v>225</v>
      </c>
      <c r="B214">
        <v>1</v>
      </c>
      <c r="C214">
        <v>9</v>
      </c>
      <c r="D214">
        <v>5</v>
      </c>
      <c r="E214" s="1">
        <v>46126.958333333343</v>
      </c>
      <c r="F214">
        <v>6</v>
      </c>
      <c r="G214">
        <v>54</v>
      </c>
      <c r="H214" t="s">
        <v>22</v>
      </c>
      <c r="I214" t="s">
        <v>27</v>
      </c>
      <c r="J214">
        <v>9</v>
      </c>
      <c r="K214">
        <v>2026</v>
      </c>
      <c r="L214">
        <v>4</v>
      </c>
      <c r="M214">
        <v>23</v>
      </c>
      <c r="N214" t="s">
        <v>37</v>
      </c>
      <c r="O214" t="s">
        <v>13</v>
      </c>
      <c r="P214" t="s">
        <v>48</v>
      </c>
      <c r="Q214" t="s">
        <v>50</v>
      </c>
    </row>
    <row r="215" spans="1:17" x14ac:dyDescent="0.35">
      <c r="A215">
        <v>226</v>
      </c>
      <c r="B215">
        <v>19</v>
      </c>
      <c r="C215">
        <v>4</v>
      </c>
      <c r="D215">
        <v>5</v>
      </c>
      <c r="E215" s="1">
        <v>46061.604166666657</v>
      </c>
      <c r="F215">
        <v>5</v>
      </c>
      <c r="G215">
        <v>45</v>
      </c>
      <c r="H215" t="s">
        <v>22</v>
      </c>
      <c r="I215" t="s">
        <v>31</v>
      </c>
      <c r="J215">
        <v>9</v>
      </c>
      <c r="K215">
        <v>2026</v>
      </c>
      <c r="L215">
        <v>2</v>
      </c>
      <c r="M215">
        <v>14</v>
      </c>
      <c r="N215" t="s">
        <v>28</v>
      </c>
      <c r="O215" t="s">
        <v>24</v>
      </c>
      <c r="P215" t="s">
        <v>55</v>
      </c>
      <c r="Q215" t="s">
        <v>50</v>
      </c>
    </row>
    <row r="216" spans="1:17" x14ac:dyDescent="0.35">
      <c r="A216">
        <v>227</v>
      </c>
      <c r="B216">
        <v>7</v>
      </c>
      <c r="C216">
        <v>20</v>
      </c>
      <c r="D216">
        <v>6</v>
      </c>
      <c r="E216" s="1">
        <v>46110.8125</v>
      </c>
      <c r="F216">
        <v>3</v>
      </c>
      <c r="G216">
        <v>27</v>
      </c>
      <c r="H216" t="s">
        <v>22</v>
      </c>
      <c r="I216" t="s">
        <v>27</v>
      </c>
      <c r="J216">
        <v>9</v>
      </c>
      <c r="K216">
        <v>2026</v>
      </c>
      <c r="L216">
        <v>3</v>
      </c>
      <c r="M216">
        <v>19</v>
      </c>
      <c r="N216" t="s">
        <v>28</v>
      </c>
      <c r="O216" t="s">
        <v>24</v>
      </c>
      <c r="P216" t="s">
        <v>36</v>
      </c>
      <c r="Q216" t="s">
        <v>21</v>
      </c>
    </row>
    <row r="217" spans="1:17" x14ac:dyDescent="0.35">
      <c r="A217">
        <v>228</v>
      </c>
      <c r="B217">
        <v>20</v>
      </c>
      <c r="C217">
        <v>2</v>
      </c>
      <c r="D217">
        <v>2</v>
      </c>
      <c r="E217" s="1">
        <v>46215.729166666657</v>
      </c>
      <c r="F217">
        <v>1</v>
      </c>
      <c r="G217">
        <v>9</v>
      </c>
      <c r="H217" t="s">
        <v>22</v>
      </c>
      <c r="I217" t="s">
        <v>27</v>
      </c>
      <c r="J217">
        <v>9</v>
      </c>
      <c r="K217">
        <v>2026</v>
      </c>
      <c r="L217">
        <v>7</v>
      </c>
      <c r="M217">
        <v>17</v>
      </c>
      <c r="N217" t="s">
        <v>28</v>
      </c>
      <c r="O217" t="s">
        <v>24</v>
      </c>
      <c r="P217" t="s">
        <v>44</v>
      </c>
      <c r="Q217" t="s">
        <v>54</v>
      </c>
    </row>
    <row r="218" spans="1:17" x14ac:dyDescent="0.35">
      <c r="A218">
        <v>229</v>
      </c>
      <c r="B218">
        <v>17</v>
      </c>
      <c r="C218">
        <v>2</v>
      </c>
      <c r="D218">
        <v>9</v>
      </c>
      <c r="E218" s="1">
        <v>46108.625</v>
      </c>
      <c r="F218">
        <v>1</v>
      </c>
      <c r="G218">
        <v>8</v>
      </c>
      <c r="H218" t="s">
        <v>22</v>
      </c>
      <c r="I218" t="s">
        <v>18</v>
      </c>
      <c r="J218">
        <v>8</v>
      </c>
      <c r="K218">
        <v>2026</v>
      </c>
      <c r="L218">
        <v>3</v>
      </c>
      <c r="M218">
        <v>15</v>
      </c>
      <c r="N218" t="s">
        <v>43</v>
      </c>
      <c r="O218" t="s">
        <v>13</v>
      </c>
      <c r="P218" t="s">
        <v>44</v>
      </c>
      <c r="Q218" t="s">
        <v>30</v>
      </c>
    </row>
    <row r="219" spans="1:17" x14ac:dyDescent="0.35">
      <c r="A219">
        <v>230</v>
      </c>
      <c r="B219">
        <v>5</v>
      </c>
      <c r="C219">
        <v>8</v>
      </c>
      <c r="D219">
        <v>7</v>
      </c>
      <c r="E219" s="1">
        <v>46313.583333333343</v>
      </c>
      <c r="F219">
        <v>2</v>
      </c>
      <c r="G219">
        <v>18</v>
      </c>
      <c r="H219" t="s">
        <v>22</v>
      </c>
      <c r="I219" t="s">
        <v>18</v>
      </c>
      <c r="J219">
        <v>9</v>
      </c>
      <c r="K219">
        <v>2026</v>
      </c>
      <c r="L219">
        <v>10</v>
      </c>
      <c r="M219">
        <v>14</v>
      </c>
      <c r="N219" t="s">
        <v>28</v>
      </c>
      <c r="O219" t="s">
        <v>24</v>
      </c>
      <c r="P219" t="s">
        <v>42</v>
      </c>
      <c r="Q219" t="s">
        <v>35</v>
      </c>
    </row>
    <row r="220" spans="1:17" x14ac:dyDescent="0.35">
      <c r="A220">
        <v>231</v>
      </c>
      <c r="B220">
        <v>2</v>
      </c>
      <c r="C220">
        <v>20</v>
      </c>
      <c r="D220">
        <v>2</v>
      </c>
      <c r="E220" s="1">
        <v>46145.854166666657</v>
      </c>
      <c r="F220">
        <v>4</v>
      </c>
      <c r="G220">
        <v>36</v>
      </c>
      <c r="H220" t="s">
        <v>22</v>
      </c>
      <c r="I220" t="s">
        <v>31</v>
      </c>
      <c r="J220">
        <v>9</v>
      </c>
      <c r="K220">
        <v>2026</v>
      </c>
      <c r="L220">
        <v>5</v>
      </c>
      <c r="M220">
        <v>20</v>
      </c>
      <c r="N220" t="s">
        <v>28</v>
      </c>
      <c r="O220" t="s">
        <v>24</v>
      </c>
      <c r="P220" t="s">
        <v>36</v>
      </c>
      <c r="Q220" t="s">
        <v>54</v>
      </c>
    </row>
    <row r="221" spans="1:17" x14ac:dyDescent="0.35">
      <c r="A221">
        <v>232</v>
      </c>
      <c r="B221">
        <v>13</v>
      </c>
      <c r="C221">
        <v>7</v>
      </c>
      <c r="D221">
        <v>7</v>
      </c>
      <c r="E221" s="1">
        <v>46077.708333333343</v>
      </c>
      <c r="F221">
        <v>4</v>
      </c>
      <c r="G221">
        <v>32</v>
      </c>
      <c r="H221" t="s">
        <v>22</v>
      </c>
      <c r="I221" t="s">
        <v>31</v>
      </c>
      <c r="J221">
        <v>8</v>
      </c>
      <c r="K221">
        <v>2026</v>
      </c>
      <c r="L221">
        <v>2</v>
      </c>
      <c r="M221">
        <v>17</v>
      </c>
      <c r="N221" t="s">
        <v>37</v>
      </c>
      <c r="O221" t="s">
        <v>13</v>
      </c>
      <c r="P221" t="s">
        <v>34</v>
      </c>
      <c r="Q221" t="s">
        <v>35</v>
      </c>
    </row>
    <row r="222" spans="1:17" x14ac:dyDescent="0.35">
      <c r="A222">
        <v>233</v>
      </c>
      <c r="B222">
        <v>11</v>
      </c>
      <c r="C222">
        <v>15</v>
      </c>
      <c r="D222">
        <v>8</v>
      </c>
      <c r="E222" s="1">
        <v>46385.833333333343</v>
      </c>
      <c r="F222">
        <v>6</v>
      </c>
      <c r="G222">
        <v>48</v>
      </c>
      <c r="H222" t="s">
        <v>22</v>
      </c>
      <c r="I222" t="s">
        <v>27</v>
      </c>
      <c r="J222">
        <v>8</v>
      </c>
      <c r="K222">
        <v>2026</v>
      </c>
      <c r="L222">
        <v>12</v>
      </c>
      <c r="M222">
        <v>20</v>
      </c>
      <c r="N222" t="s">
        <v>37</v>
      </c>
      <c r="O222" t="s">
        <v>13</v>
      </c>
      <c r="P222" t="s">
        <v>38</v>
      </c>
      <c r="Q222" t="s">
        <v>46</v>
      </c>
    </row>
    <row r="223" spans="1:17" x14ac:dyDescent="0.35">
      <c r="A223">
        <v>234</v>
      </c>
      <c r="B223">
        <v>2</v>
      </c>
      <c r="C223">
        <v>20</v>
      </c>
      <c r="D223">
        <v>5</v>
      </c>
      <c r="E223" s="1">
        <v>46342.6875</v>
      </c>
      <c r="F223">
        <v>3</v>
      </c>
      <c r="G223">
        <v>24</v>
      </c>
      <c r="H223" t="s">
        <v>17</v>
      </c>
      <c r="I223" t="s">
        <v>18</v>
      </c>
      <c r="J223">
        <v>8</v>
      </c>
      <c r="K223">
        <v>2026</v>
      </c>
      <c r="L223">
        <v>11</v>
      </c>
      <c r="M223">
        <v>16</v>
      </c>
      <c r="N223" t="s">
        <v>33</v>
      </c>
      <c r="O223" t="s">
        <v>13</v>
      </c>
      <c r="P223" t="s">
        <v>36</v>
      </c>
      <c r="Q223" t="s">
        <v>50</v>
      </c>
    </row>
    <row r="224" spans="1:17" x14ac:dyDescent="0.35">
      <c r="A224">
        <v>235</v>
      </c>
      <c r="B224">
        <v>3</v>
      </c>
      <c r="C224">
        <v>13</v>
      </c>
      <c r="D224">
        <v>3</v>
      </c>
      <c r="E224" s="1">
        <v>46143.916666666657</v>
      </c>
      <c r="F224">
        <v>4</v>
      </c>
      <c r="G224">
        <v>36</v>
      </c>
      <c r="H224" t="s">
        <v>22</v>
      </c>
      <c r="I224" t="s">
        <v>27</v>
      </c>
      <c r="J224">
        <v>9</v>
      </c>
      <c r="K224">
        <v>2026</v>
      </c>
      <c r="L224">
        <v>5</v>
      </c>
      <c r="M224">
        <v>22</v>
      </c>
      <c r="N224" t="s">
        <v>43</v>
      </c>
      <c r="O224" t="s">
        <v>13</v>
      </c>
      <c r="P224" t="s">
        <v>49</v>
      </c>
      <c r="Q224" t="s">
        <v>45</v>
      </c>
    </row>
    <row r="225" spans="1:17" x14ac:dyDescent="0.35">
      <c r="A225">
        <v>236</v>
      </c>
      <c r="B225">
        <v>2</v>
      </c>
      <c r="C225">
        <v>18</v>
      </c>
      <c r="D225">
        <v>9</v>
      </c>
      <c r="E225" s="1">
        <v>46250.729166666657</v>
      </c>
      <c r="F225">
        <v>3</v>
      </c>
      <c r="G225">
        <v>27</v>
      </c>
      <c r="H225" t="s">
        <v>22</v>
      </c>
      <c r="I225" t="s">
        <v>18</v>
      </c>
      <c r="J225">
        <v>9</v>
      </c>
      <c r="K225">
        <v>2026</v>
      </c>
      <c r="L225">
        <v>8</v>
      </c>
      <c r="M225">
        <v>17</v>
      </c>
      <c r="N225" t="s">
        <v>28</v>
      </c>
      <c r="O225" t="s">
        <v>24</v>
      </c>
      <c r="P225" t="s">
        <v>47</v>
      </c>
      <c r="Q225" t="s">
        <v>30</v>
      </c>
    </row>
    <row r="226" spans="1:17" x14ac:dyDescent="0.35">
      <c r="A226">
        <v>237</v>
      </c>
      <c r="B226">
        <v>4</v>
      </c>
      <c r="C226">
        <v>18</v>
      </c>
      <c r="D226">
        <v>7</v>
      </c>
      <c r="E226" s="1">
        <v>46086.854166666657</v>
      </c>
      <c r="F226">
        <v>1</v>
      </c>
      <c r="G226">
        <v>8</v>
      </c>
      <c r="H226" t="s">
        <v>22</v>
      </c>
      <c r="I226" t="s">
        <v>18</v>
      </c>
      <c r="J226">
        <v>8</v>
      </c>
      <c r="K226">
        <v>2026</v>
      </c>
      <c r="L226">
        <v>3</v>
      </c>
      <c r="M226">
        <v>20</v>
      </c>
      <c r="N226" t="s">
        <v>41</v>
      </c>
      <c r="O226" t="s">
        <v>13</v>
      </c>
      <c r="P226" t="s">
        <v>47</v>
      </c>
      <c r="Q226" t="s">
        <v>35</v>
      </c>
    </row>
    <row r="227" spans="1:17" x14ac:dyDescent="0.35">
      <c r="A227">
        <v>238</v>
      </c>
      <c r="B227">
        <v>4</v>
      </c>
      <c r="C227">
        <v>8</v>
      </c>
      <c r="D227">
        <v>6</v>
      </c>
      <c r="E227" s="1">
        <v>46291.9375</v>
      </c>
      <c r="F227">
        <v>2</v>
      </c>
      <c r="G227">
        <v>20</v>
      </c>
      <c r="H227" t="s">
        <v>22</v>
      </c>
      <c r="I227" t="s">
        <v>18</v>
      </c>
      <c r="J227">
        <v>10</v>
      </c>
      <c r="K227">
        <v>2026</v>
      </c>
      <c r="L227">
        <v>9</v>
      </c>
      <c r="M227">
        <v>22</v>
      </c>
      <c r="N227" t="s">
        <v>23</v>
      </c>
      <c r="O227" t="s">
        <v>24</v>
      </c>
      <c r="P227" t="s">
        <v>42</v>
      </c>
      <c r="Q227" t="s">
        <v>21</v>
      </c>
    </row>
    <row r="228" spans="1:17" x14ac:dyDescent="0.35">
      <c r="A228">
        <v>239</v>
      </c>
      <c r="B228">
        <v>7</v>
      </c>
      <c r="C228">
        <v>19</v>
      </c>
      <c r="D228">
        <v>9</v>
      </c>
      <c r="E228" s="1">
        <v>46180.854166666657</v>
      </c>
      <c r="F228">
        <v>6</v>
      </c>
      <c r="G228">
        <v>54</v>
      </c>
      <c r="H228" t="s">
        <v>22</v>
      </c>
      <c r="I228" t="s">
        <v>31</v>
      </c>
      <c r="J228">
        <v>9</v>
      </c>
      <c r="K228">
        <v>2026</v>
      </c>
      <c r="L228">
        <v>6</v>
      </c>
      <c r="M228">
        <v>20</v>
      </c>
      <c r="N228" t="s">
        <v>28</v>
      </c>
      <c r="O228" t="s">
        <v>24</v>
      </c>
      <c r="P228" t="s">
        <v>58</v>
      </c>
      <c r="Q228" t="s">
        <v>30</v>
      </c>
    </row>
    <row r="229" spans="1:17" x14ac:dyDescent="0.35">
      <c r="A229">
        <v>240</v>
      </c>
      <c r="B229">
        <v>11</v>
      </c>
      <c r="C229">
        <v>16</v>
      </c>
      <c r="D229">
        <v>6</v>
      </c>
      <c r="E229" s="1">
        <v>46387.833333333343</v>
      </c>
      <c r="F229">
        <v>6</v>
      </c>
      <c r="G229">
        <v>48</v>
      </c>
      <c r="H229" t="s">
        <v>22</v>
      </c>
      <c r="I229" t="s">
        <v>18</v>
      </c>
      <c r="J229">
        <v>8</v>
      </c>
      <c r="K229">
        <v>2026</v>
      </c>
      <c r="L229">
        <v>12</v>
      </c>
      <c r="M229">
        <v>20</v>
      </c>
      <c r="N229" t="s">
        <v>41</v>
      </c>
      <c r="O229" t="s">
        <v>13</v>
      </c>
      <c r="P229" t="s">
        <v>51</v>
      </c>
      <c r="Q229" t="s">
        <v>21</v>
      </c>
    </row>
    <row r="230" spans="1:17" x14ac:dyDescent="0.35">
      <c r="A230">
        <v>241</v>
      </c>
      <c r="B230">
        <v>4</v>
      </c>
      <c r="C230">
        <v>19</v>
      </c>
      <c r="D230">
        <v>4</v>
      </c>
      <c r="E230" s="1">
        <v>46191.604166666657</v>
      </c>
      <c r="F230">
        <v>6</v>
      </c>
      <c r="G230">
        <v>48</v>
      </c>
      <c r="H230" t="s">
        <v>22</v>
      </c>
      <c r="I230" t="s">
        <v>18</v>
      </c>
      <c r="J230">
        <v>8</v>
      </c>
      <c r="K230">
        <v>2026</v>
      </c>
      <c r="L230">
        <v>6</v>
      </c>
      <c r="M230">
        <v>14</v>
      </c>
      <c r="N230" t="s">
        <v>41</v>
      </c>
      <c r="O230" t="s">
        <v>13</v>
      </c>
      <c r="P230" t="s">
        <v>58</v>
      </c>
      <c r="Q230" t="s">
        <v>26</v>
      </c>
    </row>
    <row r="231" spans="1:17" x14ac:dyDescent="0.35">
      <c r="A231">
        <v>242</v>
      </c>
      <c r="B231">
        <v>3</v>
      </c>
      <c r="C231">
        <v>13</v>
      </c>
      <c r="D231">
        <v>5</v>
      </c>
      <c r="E231" s="1">
        <v>46112.645833333343</v>
      </c>
      <c r="F231">
        <v>5</v>
      </c>
      <c r="G231">
        <v>40</v>
      </c>
      <c r="H231" t="s">
        <v>22</v>
      </c>
      <c r="I231" t="s">
        <v>31</v>
      </c>
      <c r="J231">
        <v>8</v>
      </c>
      <c r="K231">
        <v>2026</v>
      </c>
      <c r="L231">
        <v>3</v>
      </c>
      <c r="M231">
        <v>15</v>
      </c>
      <c r="N231" t="s">
        <v>37</v>
      </c>
      <c r="O231" t="s">
        <v>13</v>
      </c>
      <c r="P231" t="s">
        <v>49</v>
      </c>
      <c r="Q231" t="s">
        <v>50</v>
      </c>
    </row>
    <row r="232" spans="1:17" x14ac:dyDescent="0.35">
      <c r="A232">
        <v>243</v>
      </c>
      <c r="B232">
        <v>20</v>
      </c>
      <c r="C232">
        <v>6</v>
      </c>
      <c r="D232">
        <v>5</v>
      </c>
      <c r="E232" s="1">
        <v>46354.583333333343</v>
      </c>
      <c r="F232">
        <v>3</v>
      </c>
      <c r="G232">
        <v>27</v>
      </c>
      <c r="H232" t="s">
        <v>22</v>
      </c>
      <c r="I232" t="s">
        <v>31</v>
      </c>
      <c r="J232">
        <v>9</v>
      </c>
      <c r="K232">
        <v>2026</v>
      </c>
      <c r="L232">
        <v>11</v>
      </c>
      <c r="M232">
        <v>14</v>
      </c>
      <c r="N232" t="s">
        <v>23</v>
      </c>
      <c r="O232" t="s">
        <v>24</v>
      </c>
      <c r="P232" t="s">
        <v>52</v>
      </c>
      <c r="Q232" t="s">
        <v>50</v>
      </c>
    </row>
    <row r="233" spans="1:17" x14ac:dyDescent="0.35">
      <c r="A233">
        <v>244</v>
      </c>
      <c r="B233">
        <v>12</v>
      </c>
      <c r="C233">
        <v>11</v>
      </c>
      <c r="D233">
        <v>7</v>
      </c>
      <c r="E233" s="1">
        <v>46280.75</v>
      </c>
      <c r="F233">
        <v>2</v>
      </c>
      <c r="G233">
        <v>16</v>
      </c>
      <c r="H233" t="s">
        <v>22</v>
      </c>
      <c r="I233" t="s">
        <v>18</v>
      </c>
      <c r="J233">
        <v>8</v>
      </c>
      <c r="K233">
        <v>2026</v>
      </c>
      <c r="L233">
        <v>9</v>
      </c>
      <c r="M233">
        <v>18</v>
      </c>
      <c r="N233" t="s">
        <v>37</v>
      </c>
      <c r="O233" t="s">
        <v>13</v>
      </c>
      <c r="P233" t="s">
        <v>59</v>
      </c>
      <c r="Q233" t="s">
        <v>35</v>
      </c>
    </row>
    <row r="234" spans="1:17" x14ac:dyDescent="0.35">
      <c r="A234">
        <v>245</v>
      </c>
      <c r="B234">
        <v>3</v>
      </c>
      <c r="C234">
        <v>19</v>
      </c>
      <c r="D234">
        <v>10</v>
      </c>
      <c r="E234" s="1">
        <v>46080.979166666657</v>
      </c>
      <c r="F234">
        <v>5</v>
      </c>
      <c r="G234">
        <v>45</v>
      </c>
      <c r="H234" t="s">
        <v>17</v>
      </c>
      <c r="I234" t="s">
        <v>27</v>
      </c>
      <c r="J234">
        <v>9</v>
      </c>
      <c r="K234">
        <v>2026</v>
      </c>
      <c r="L234">
        <v>2</v>
      </c>
      <c r="M234">
        <v>23</v>
      </c>
      <c r="N234" t="s">
        <v>43</v>
      </c>
      <c r="O234" t="s">
        <v>13</v>
      </c>
      <c r="P234" t="s">
        <v>58</v>
      </c>
      <c r="Q234" t="s">
        <v>32</v>
      </c>
    </row>
    <row r="235" spans="1:17" x14ac:dyDescent="0.35">
      <c r="A235">
        <v>246</v>
      </c>
      <c r="B235">
        <v>17</v>
      </c>
      <c r="C235">
        <v>11</v>
      </c>
      <c r="D235">
        <v>3</v>
      </c>
      <c r="E235" s="1">
        <v>46297.791666666657</v>
      </c>
      <c r="F235">
        <v>6</v>
      </c>
      <c r="G235">
        <v>48</v>
      </c>
      <c r="H235" t="s">
        <v>22</v>
      </c>
      <c r="I235" t="s">
        <v>31</v>
      </c>
      <c r="J235">
        <v>8</v>
      </c>
      <c r="K235">
        <v>2026</v>
      </c>
      <c r="L235">
        <v>10</v>
      </c>
      <c r="M235">
        <v>19</v>
      </c>
      <c r="N235" t="s">
        <v>43</v>
      </c>
      <c r="O235" t="s">
        <v>13</v>
      </c>
      <c r="P235" t="s">
        <v>59</v>
      </c>
      <c r="Q235" t="s">
        <v>45</v>
      </c>
    </row>
    <row r="236" spans="1:17" x14ac:dyDescent="0.35">
      <c r="A236">
        <v>247</v>
      </c>
      <c r="B236">
        <v>6</v>
      </c>
      <c r="C236">
        <v>10</v>
      </c>
      <c r="D236">
        <v>1</v>
      </c>
      <c r="E236" s="1">
        <v>46175.770833333343</v>
      </c>
      <c r="F236">
        <v>6</v>
      </c>
      <c r="G236">
        <v>48</v>
      </c>
      <c r="H236" t="s">
        <v>22</v>
      </c>
      <c r="I236" t="s">
        <v>27</v>
      </c>
      <c r="J236">
        <v>8</v>
      </c>
      <c r="K236">
        <v>2026</v>
      </c>
      <c r="L236">
        <v>6</v>
      </c>
      <c r="M236">
        <v>18</v>
      </c>
      <c r="N236" t="s">
        <v>37</v>
      </c>
      <c r="O236" t="s">
        <v>13</v>
      </c>
      <c r="P236" t="s">
        <v>25</v>
      </c>
      <c r="Q236" t="s">
        <v>40</v>
      </c>
    </row>
    <row r="237" spans="1:17" x14ac:dyDescent="0.35">
      <c r="A237">
        <v>248</v>
      </c>
      <c r="B237">
        <v>12</v>
      </c>
      <c r="C237">
        <v>20</v>
      </c>
      <c r="D237">
        <v>3</v>
      </c>
      <c r="E237" s="1">
        <v>46379.979166666657</v>
      </c>
      <c r="F237">
        <v>5</v>
      </c>
      <c r="G237">
        <v>45</v>
      </c>
      <c r="H237" t="s">
        <v>22</v>
      </c>
      <c r="I237" t="s">
        <v>27</v>
      </c>
      <c r="J237">
        <v>9</v>
      </c>
      <c r="K237">
        <v>2026</v>
      </c>
      <c r="L237">
        <v>12</v>
      </c>
      <c r="M237">
        <v>23</v>
      </c>
      <c r="N237" t="s">
        <v>19</v>
      </c>
      <c r="O237" t="s">
        <v>13</v>
      </c>
      <c r="P237" t="s">
        <v>36</v>
      </c>
      <c r="Q237" t="s">
        <v>45</v>
      </c>
    </row>
    <row r="238" spans="1:17" x14ac:dyDescent="0.35">
      <c r="A238">
        <v>249</v>
      </c>
      <c r="B238">
        <v>6</v>
      </c>
      <c r="C238">
        <v>16</v>
      </c>
      <c r="D238">
        <v>10</v>
      </c>
      <c r="E238" s="1">
        <v>46353.729166666657</v>
      </c>
      <c r="F238">
        <v>4</v>
      </c>
      <c r="G238">
        <v>32</v>
      </c>
      <c r="H238" t="s">
        <v>22</v>
      </c>
      <c r="I238" t="s">
        <v>27</v>
      </c>
      <c r="J238">
        <v>8</v>
      </c>
      <c r="K238">
        <v>2026</v>
      </c>
      <c r="L238">
        <v>11</v>
      </c>
      <c r="M238">
        <v>17</v>
      </c>
      <c r="N238" t="s">
        <v>43</v>
      </c>
      <c r="O238" t="s">
        <v>13</v>
      </c>
      <c r="P238" t="s">
        <v>51</v>
      </c>
      <c r="Q238" t="s">
        <v>32</v>
      </c>
    </row>
    <row r="239" spans="1:17" x14ac:dyDescent="0.35">
      <c r="A239">
        <v>250</v>
      </c>
      <c r="B239">
        <v>3</v>
      </c>
      <c r="C239">
        <v>20</v>
      </c>
      <c r="D239">
        <v>8</v>
      </c>
      <c r="E239" s="1">
        <v>46215.875</v>
      </c>
      <c r="F239">
        <v>6</v>
      </c>
      <c r="G239">
        <v>60</v>
      </c>
      <c r="H239" t="s">
        <v>22</v>
      </c>
      <c r="I239" t="s">
        <v>31</v>
      </c>
      <c r="J239">
        <v>10</v>
      </c>
      <c r="K239">
        <v>2026</v>
      </c>
      <c r="L239">
        <v>7</v>
      </c>
      <c r="M239">
        <v>21</v>
      </c>
      <c r="N239" t="s">
        <v>28</v>
      </c>
      <c r="O239" t="s">
        <v>24</v>
      </c>
      <c r="P239" t="s">
        <v>36</v>
      </c>
      <c r="Q239" t="s">
        <v>46</v>
      </c>
    </row>
    <row r="240" spans="1:17" x14ac:dyDescent="0.35">
      <c r="A240">
        <v>251</v>
      </c>
      <c r="B240">
        <v>17</v>
      </c>
      <c r="C240">
        <v>11</v>
      </c>
      <c r="D240">
        <v>4</v>
      </c>
      <c r="E240" s="1">
        <v>46221.645833333343</v>
      </c>
      <c r="F240">
        <v>6</v>
      </c>
      <c r="G240">
        <v>54</v>
      </c>
      <c r="H240" t="s">
        <v>22</v>
      </c>
      <c r="I240" t="s">
        <v>27</v>
      </c>
      <c r="J240">
        <v>9</v>
      </c>
      <c r="K240">
        <v>2026</v>
      </c>
      <c r="L240">
        <v>7</v>
      </c>
      <c r="M240">
        <v>15</v>
      </c>
      <c r="N240" t="s">
        <v>23</v>
      </c>
      <c r="O240" t="s">
        <v>24</v>
      </c>
      <c r="P240" t="s">
        <v>59</v>
      </c>
      <c r="Q240" t="s">
        <v>26</v>
      </c>
    </row>
    <row r="241" spans="1:17" x14ac:dyDescent="0.35">
      <c r="A241">
        <v>252</v>
      </c>
      <c r="B241">
        <v>19</v>
      </c>
      <c r="C241">
        <v>11</v>
      </c>
      <c r="D241">
        <v>9</v>
      </c>
      <c r="E241" s="1">
        <v>46353.770833333343</v>
      </c>
      <c r="F241">
        <v>3</v>
      </c>
      <c r="G241">
        <v>24</v>
      </c>
      <c r="H241" t="s">
        <v>17</v>
      </c>
      <c r="I241" t="s">
        <v>31</v>
      </c>
      <c r="J241">
        <v>8</v>
      </c>
      <c r="K241">
        <v>2026</v>
      </c>
      <c r="L241">
        <v>11</v>
      </c>
      <c r="M241">
        <v>18</v>
      </c>
      <c r="N241" t="s">
        <v>43</v>
      </c>
      <c r="O241" t="s">
        <v>13</v>
      </c>
      <c r="P241" t="s">
        <v>59</v>
      </c>
      <c r="Q241" t="s">
        <v>30</v>
      </c>
    </row>
    <row r="242" spans="1:17" x14ac:dyDescent="0.35">
      <c r="A242">
        <v>253</v>
      </c>
      <c r="B242">
        <v>16</v>
      </c>
      <c r="C242">
        <v>13</v>
      </c>
      <c r="D242">
        <v>8</v>
      </c>
      <c r="E242" s="1">
        <v>46112.833333333343</v>
      </c>
      <c r="F242">
        <v>1</v>
      </c>
      <c r="G242">
        <v>8</v>
      </c>
      <c r="H242" t="s">
        <v>22</v>
      </c>
      <c r="I242" t="s">
        <v>27</v>
      </c>
      <c r="J242">
        <v>8</v>
      </c>
      <c r="K242">
        <v>2026</v>
      </c>
      <c r="L242">
        <v>3</v>
      </c>
      <c r="M242">
        <v>20</v>
      </c>
      <c r="N242" t="s">
        <v>37</v>
      </c>
      <c r="O242" t="s">
        <v>13</v>
      </c>
      <c r="P242" t="s">
        <v>49</v>
      </c>
      <c r="Q242" t="s">
        <v>46</v>
      </c>
    </row>
    <row r="243" spans="1:17" x14ac:dyDescent="0.35">
      <c r="A243">
        <v>254</v>
      </c>
      <c r="B243">
        <v>10</v>
      </c>
      <c r="C243">
        <v>15</v>
      </c>
      <c r="D243">
        <v>9</v>
      </c>
      <c r="E243" s="1">
        <v>46238.916666666657</v>
      </c>
      <c r="F243">
        <v>2</v>
      </c>
      <c r="G243">
        <v>18</v>
      </c>
      <c r="H243" t="s">
        <v>22</v>
      </c>
      <c r="I243" t="s">
        <v>31</v>
      </c>
      <c r="J243">
        <v>9</v>
      </c>
      <c r="K243">
        <v>2026</v>
      </c>
      <c r="L243">
        <v>8</v>
      </c>
      <c r="M243">
        <v>22</v>
      </c>
      <c r="N243" t="s">
        <v>37</v>
      </c>
      <c r="O243" t="s">
        <v>13</v>
      </c>
      <c r="P243" t="s">
        <v>38</v>
      </c>
      <c r="Q243" t="s">
        <v>30</v>
      </c>
    </row>
    <row r="244" spans="1:17" x14ac:dyDescent="0.35">
      <c r="A244">
        <v>255</v>
      </c>
      <c r="B244">
        <v>9</v>
      </c>
      <c r="C244">
        <v>3</v>
      </c>
      <c r="D244">
        <v>5</v>
      </c>
      <c r="E244" s="1">
        <v>46225.895833333343</v>
      </c>
      <c r="F244">
        <v>6</v>
      </c>
      <c r="G244">
        <v>54</v>
      </c>
      <c r="H244" t="s">
        <v>22</v>
      </c>
      <c r="I244" t="s">
        <v>27</v>
      </c>
      <c r="J244">
        <v>9</v>
      </c>
      <c r="K244">
        <v>2026</v>
      </c>
      <c r="L244">
        <v>7</v>
      </c>
      <c r="M244">
        <v>21</v>
      </c>
      <c r="N244" t="s">
        <v>19</v>
      </c>
      <c r="O244" t="s">
        <v>13</v>
      </c>
      <c r="P244" t="s">
        <v>20</v>
      </c>
      <c r="Q244" t="s">
        <v>50</v>
      </c>
    </row>
    <row r="245" spans="1:17" x14ac:dyDescent="0.35">
      <c r="A245">
        <v>256</v>
      </c>
      <c r="B245">
        <v>19</v>
      </c>
      <c r="C245">
        <v>5</v>
      </c>
      <c r="D245">
        <v>4</v>
      </c>
      <c r="E245" s="1">
        <v>46191.708333333343</v>
      </c>
      <c r="F245">
        <v>2</v>
      </c>
      <c r="G245">
        <v>16</v>
      </c>
      <c r="H245" t="s">
        <v>22</v>
      </c>
      <c r="I245" t="s">
        <v>18</v>
      </c>
      <c r="J245">
        <v>8</v>
      </c>
      <c r="K245">
        <v>2026</v>
      </c>
      <c r="L245">
        <v>6</v>
      </c>
      <c r="M245">
        <v>17</v>
      </c>
      <c r="N245" t="s">
        <v>41</v>
      </c>
      <c r="O245" t="s">
        <v>13</v>
      </c>
      <c r="P245" t="s">
        <v>53</v>
      </c>
      <c r="Q245" t="s">
        <v>26</v>
      </c>
    </row>
    <row r="246" spans="1:17" x14ac:dyDescent="0.35">
      <c r="A246">
        <v>257</v>
      </c>
      <c r="B246">
        <v>13</v>
      </c>
      <c r="C246">
        <v>14</v>
      </c>
      <c r="D246">
        <v>10</v>
      </c>
      <c r="E246" s="1">
        <v>46233.833333333343</v>
      </c>
      <c r="F246">
        <v>6</v>
      </c>
      <c r="G246">
        <v>48</v>
      </c>
      <c r="H246" t="s">
        <v>22</v>
      </c>
      <c r="I246" t="s">
        <v>18</v>
      </c>
      <c r="J246">
        <v>8</v>
      </c>
      <c r="K246">
        <v>2026</v>
      </c>
      <c r="L246">
        <v>7</v>
      </c>
      <c r="M246">
        <v>20</v>
      </c>
      <c r="N246" t="s">
        <v>41</v>
      </c>
      <c r="O246" t="s">
        <v>13</v>
      </c>
      <c r="P246" t="s">
        <v>29</v>
      </c>
      <c r="Q246" t="s">
        <v>32</v>
      </c>
    </row>
    <row r="247" spans="1:17" x14ac:dyDescent="0.35">
      <c r="A247">
        <v>258</v>
      </c>
      <c r="B247">
        <v>11</v>
      </c>
      <c r="C247">
        <v>2</v>
      </c>
      <c r="D247">
        <v>5</v>
      </c>
      <c r="E247" s="1">
        <v>46078.729166666657</v>
      </c>
      <c r="F247">
        <v>2</v>
      </c>
      <c r="G247">
        <v>16</v>
      </c>
      <c r="H247" t="s">
        <v>22</v>
      </c>
      <c r="I247" t="s">
        <v>27</v>
      </c>
      <c r="J247">
        <v>8</v>
      </c>
      <c r="K247">
        <v>2026</v>
      </c>
      <c r="L247">
        <v>2</v>
      </c>
      <c r="M247">
        <v>17</v>
      </c>
      <c r="N247" t="s">
        <v>19</v>
      </c>
      <c r="O247" t="s">
        <v>13</v>
      </c>
      <c r="P247" t="s">
        <v>44</v>
      </c>
      <c r="Q247" t="s">
        <v>50</v>
      </c>
    </row>
    <row r="248" spans="1:17" x14ac:dyDescent="0.35">
      <c r="A248">
        <v>259</v>
      </c>
      <c r="B248">
        <v>19</v>
      </c>
      <c r="C248">
        <v>10</v>
      </c>
      <c r="D248">
        <v>8</v>
      </c>
      <c r="E248" s="1">
        <v>46357.791666666657</v>
      </c>
      <c r="F248">
        <v>4</v>
      </c>
      <c r="G248">
        <v>32</v>
      </c>
      <c r="H248" t="s">
        <v>22</v>
      </c>
      <c r="I248" t="s">
        <v>31</v>
      </c>
      <c r="J248">
        <v>8</v>
      </c>
      <c r="K248">
        <v>2026</v>
      </c>
      <c r="L248">
        <v>12</v>
      </c>
      <c r="M248">
        <v>19</v>
      </c>
      <c r="N248" t="s">
        <v>37</v>
      </c>
      <c r="O248" t="s">
        <v>13</v>
      </c>
      <c r="P248" t="s">
        <v>25</v>
      </c>
      <c r="Q248" t="s">
        <v>46</v>
      </c>
    </row>
    <row r="249" spans="1:17" x14ac:dyDescent="0.35">
      <c r="A249">
        <v>260</v>
      </c>
      <c r="B249">
        <v>8</v>
      </c>
      <c r="C249">
        <v>6</v>
      </c>
      <c r="D249">
        <v>3</v>
      </c>
      <c r="E249" s="1">
        <v>46096.604166666657</v>
      </c>
      <c r="F249">
        <v>4</v>
      </c>
      <c r="G249">
        <v>36</v>
      </c>
      <c r="H249" t="s">
        <v>22</v>
      </c>
      <c r="I249" t="s">
        <v>27</v>
      </c>
      <c r="J249">
        <v>9</v>
      </c>
      <c r="K249">
        <v>2026</v>
      </c>
      <c r="L249">
        <v>3</v>
      </c>
      <c r="M249">
        <v>14</v>
      </c>
      <c r="N249" t="s">
        <v>28</v>
      </c>
      <c r="O249" t="s">
        <v>24</v>
      </c>
      <c r="P249" t="s">
        <v>52</v>
      </c>
      <c r="Q249" t="s">
        <v>45</v>
      </c>
    </row>
    <row r="250" spans="1:17" x14ac:dyDescent="0.35">
      <c r="A250">
        <v>261</v>
      </c>
      <c r="B250">
        <v>14</v>
      </c>
      <c r="C250">
        <v>5</v>
      </c>
      <c r="D250">
        <v>4</v>
      </c>
      <c r="E250" s="1">
        <v>46351.6875</v>
      </c>
      <c r="F250">
        <v>4</v>
      </c>
      <c r="G250">
        <v>32</v>
      </c>
      <c r="H250" t="s">
        <v>22</v>
      </c>
      <c r="I250" t="s">
        <v>31</v>
      </c>
      <c r="J250">
        <v>8</v>
      </c>
      <c r="K250">
        <v>2026</v>
      </c>
      <c r="L250">
        <v>11</v>
      </c>
      <c r="M250">
        <v>16</v>
      </c>
      <c r="N250" t="s">
        <v>19</v>
      </c>
      <c r="O250" t="s">
        <v>13</v>
      </c>
      <c r="P250" t="s">
        <v>53</v>
      </c>
      <c r="Q250" t="s">
        <v>26</v>
      </c>
    </row>
    <row r="251" spans="1:17" x14ac:dyDescent="0.35">
      <c r="A251">
        <v>262</v>
      </c>
      <c r="B251">
        <v>2</v>
      </c>
      <c r="C251">
        <v>5</v>
      </c>
      <c r="D251">
        <v>6</v>
      </c>
      <c r="E251" s="1">
        <v>46191.729166666657</v>
      </c>
      <c r="F251">
        <v>6</v>
      </c>
      <c r="G251">
        <v>48</v>
      </c>
      <c r="H251" t="s">
        <v>22</v>
      </c>
      <c r="I251" t="s">
        <v>27</v>
      </c>
      <c r="J251">
        <v>8</v>
      </c>
      <c r="K251">
        <v>2026</v>
      </c>
      <c r="L251">
        <v>6</v>
      </c>
      <c r="M251">
        <v>17</v>
      </c>
      <c r="N251" t="s">
        <v>41</v>
      </c>
      <c r="O251" t="s">
        <v>13</v>
      </c>
      <c r="P251" t="s">
        <v>53</v>
      </c>
      <c r="Q251" t="s">
        <v>21</v>
      </c>
    </row>
    <row r="252" spans="1:17" x14ac:dyDescent="0.35">
      <c r="A252">
        <v>263</v>
      </c>
      <c r="B252">
        <v>2</v>
      </c>
      <c r="C252">
        <v>20</v>
      </c>
      <c r="D252">
        <v>9</v>
      </c>
      <c r="E252" s="1">
        <v>46260.604166666657</v>
      </c>
      <c r="F252">
        <v>1</v>
      </c>
      <c r="G252">
        <v>8</v>
      </c>
      <c r="H252" t="s">
        <v>22</v>
      </c>
      <c r="I252" t="s">
        <v>31</v>
      </c>
      <c r="J252">
        <v>8</v>
      </c>
      <c r="K252">
        <v>2026</v>
      </c>
      <c r="L252">
        <v>8</v>
      </c>
      <c r="M252">
        <v>14</v>
      </c>
      <c r="N252" t="s">
        <v>19</v>
      </c>
      <c r="O252" t="s">
        <v>13</v>
      </c>
      <c r="P252" t="s">
        <v>36</v>
      </c>
      <c r="Q252" t="s">
        <v>30</v>
      </c>
    </row>
    <row r="253" spans="1:17" x14ac:dyDescent="0.35">
      <c r="A253">
        <v>264</v>
      </c>
      <c r="B253">
        <v>8</v>
      </c>
      <c r="C253">
        <v>8</v>
      </c>
      <c r="D253">
        <v>8</v>
      </c>
      <c r="E253" s="1">
        <v>46308.645833333343</v>
      </c>
      <c r="F253">
        <v>1</v>
      </c>
      <c r="G253">
        <v>8</v>
      </c>
      <c r="H253" t="s">
        <v>22</v>
      </c>
      <c r="I253" t="s">
        <v>18</v>
      </c>
      <c r="J253">
        <v>8</v>
      </c>
      <c r="K253">
        <v>2026</v>
      </c>
      <c r="L253">
        <v>10</v>
      </c>
      <c r="M253">
        <v>15</v>
      </c>
      <c r="N253" t="s">
        <v>37</v>
      </c>
      <c r="O253" t="s">
        <v>13</v>
      </c>
      <c r="P253" t="s">
        <v>42</v>
      </c>
      <c r="Q253" t="s">
        <v>46</v>
      </c>
    </row>
    <row r="254" spans="1:17" x14ac:dyDescent="0.35">
      <c r="A254">
        <v>265</v>
      </c>
      <c r="B254">
        <v>6</v>
      </c>
      <c r="C254">
        <v>16</v>
      </c>
      <c r="D254">
        <v>8</v>
      </c>
      <c r="E254" s="1">
        <v>46083.8125</v>
      </c>
      <c r="F254">
        <v>2</v>
      </c>
      <c r="G254">
        <v>16</v>
      </c>
      <c r="H254" t="s">
        <v>22</v>
      </c>
      <c r="I254" t="s">
        <v>18</v>
      </c>
      <c r="J254">
        <v>8</v>
      </c>
      <c r="K254">
        <v>2026</v>
      </c>
      <c r="L254">
        <v>3</v>
      </c>
      <c r="M254">
        <v>19</v>
      </c>
      <c r="N254" t="s">
        <v>33</v>
      </c>
      <c r="O254" t="s">
        <v>13</v>
      </c>
      <c r="P254" t="s">
        <v>51</v>
      </c>
      <c r="Q254" t="s">
        <v>46</v>
      </c>
    </row>
    <row r="255" spans="1:17" x14ac:dyDescent="0.35">
      <c r="A255">
        <v>266</v>
      </c>
      <c r="B255">
        <v>17</v>
      </c>
      <c r="C255">
        <v>7</v>
      </c>
      <c r="D255">
        <v>8</v>
      </c>
      <c r="E255" s="1">
        <v>46151.666666666657</v>
      </c>
      <c r="F255">
        <v>4</v>
      </c>
      <c r="G255">
        <v>36</v>
      </c>
      <c r="H255" t="s">
        <v>22</v>
      </c>
      <c r="I255" t="s">
        <v>27</v>
      </c>
      <c r="J255">
        <v>9</v>
      </c>
      <c r="K255">
        <v>2026</v>
      </c>
      <c r="L255">
        <v>5</v>
      </c>
      <c r="M255">
        <v>16</v>
      </c>
      <c r="N255" t="s">
        <v>23</v>
      </c>
      <c r="O255" t="s">
        <v>24</v>
      </c>
      <c r="P255" t="s">
        <v>34</v>
      </c>
      <c r="Q255" t="s">
        <v>46</v>
      </c>
    </row>
    <row r="256" spans="1:17" x14ac:dyDescent="0.35">
      <c r="A256">
        <v>267</v>
      </c>
      <c r="B256">
        <v>1</v>
      </c>
      <c r="C256">
        <v>17</v>
      </c>
      <c r="D256">
        <v>3</v>
      </c>
      <c r="E256" s="1">
        <v>46213.875</v>
      </c>
      <c r="F256">
        <v>1</v>
      </c>
      <c r="G256">
        <v>9</v>
      </c>
      <c r="H256" t="s">
        <v>22</v>
      </c>
      <c r="I256" t="s">
        <v>31</v>
      </c>
      <c r="J256">
        <v>9</v>
      </c>
      <c r="K256">
        <v>2026</v>
      </c>
      <c r="L256">
        <v>7</v>
      </c>
      <c r="M256">
        <v>21</v>
      </c>
      <c r="N256" t="s">
        <v>43</v>
      </c>
      <c r="O256" t="s">
        <v>13</v>
      </c>
      <c r="P256" t="s">
        <v>56</v>
      </c>
      <c r="Q256" t="s">
        <v>45</v>
      </c>
    </row>
    <row r="257" spans="1:17" x14ac:dyDescent="0.35">
      <c r="A257">
        <v>268</v>
      </c>
      <c r="B257">
        <v>14</v>
      </c>
      <c r="C257">
        <v>7</v>
      </c>
      <c r="D257">
        <v>3</v>
      </c>
      <c r="E257" s="1">
        <v>46271.979166666657</v>
      </c>
      <c r="F257">
        <v>5</v>
      </c>
      <c r="G257">
        <v>50</v>
      </c>
      <c r="H257" t="s">
        <v>22</v>
      </c>
      <c r="I257" t="s">
        <v>31</v>
      </c>
      <c r="J257">
        <v>10</v>
      </c>
      <c r="K257">
        <v>2026</v>
      </c>
      <c r="L257">
        <v>9</v>
      </c>
      <c r="M257">
        <v>23</v>
      </c>
      <c r="N257" t="s">
        <v>28</v>
      </c>
      <c r="O257" t="s">
        <v>24</v>
      </c>
      <c r="P257" t="s">
        <v>34</v>
      </c>
      <c r="Q257" t="s">
        <v>45</v>
      </c>
    </row>
    <row r="258" spans="1:17" x14ac:dyDescent="0.35">
      <c r="A258">
        <v>269</v>
      </c>
      <c r="B258">
        <v>4</v>
      </c>
      <c r="C258">
        <v>18</v>
      </c>
      <c r="D258">
        <v>7</v>
      </c>
      <c r="E258" s="1">
        <v>46113.666666666657</v>
      </c>
      <c r="F258">
        <v>5</v>
      </c>
      <c r="G258">
        <v>40</v>
      </c>
      <c r="H258" t="s">
        <v>22</v>
      </c>
      <c r="I258" t="s">
        <v>31</v>
      </c>
      <c r="J258">
        <v>8</v>
      </c>
      <c r="K258">
        <v>2026</v>
      </c>
      <c r="L258">
        <v>4</v>
      </c>
      <c r="M258">
        <v>16</v>
      </c>
      <c r="N258" t="s">
        <v>19</v>
      </c>
      <c r="O258" t="s">
        <v>13</v>
      </c>
      <c r="P258" t="s">
        <v>47</v>
      </c>
      <c r="Q258" t="s">
        <v>35</v>
      </c>
    </row>
    <row r="259" spans="1:17" x14ac:dyDescent="0.35">
      <c r="A259">
        <v>270</v>
      </c>
      <c r="B259">
        <v>7</v>
      </c>
      <c r="C259">
        <v>14</v>
      </c>
      <c r="D259">
        <v>10</v>
      </c>
      <c r="E259" s="1">
        <v>46215.895833333343</v>
      </c>
      <c r="F259">
        <v>3</v>
      </c>
      <c r="G259">
        <v>30</v>
      </c>
      <c r="H259" t="s">
        <v>17</v>
      </c>
      <c r="I259" t="s">
        <v>18</v>
      </c>
      <c r="J259">
        <v>10</v>
      </c>
      <c r="K259">
        <v>2026</v>
      </c>
      <c r="L259">
        <v>7</v>
      </c>
      <c r="M259">
        <v>21</v>
      </c>
      <c r="N259" t="s">
        <v>28</v>
      </c>
      <c r="O259" t="s">
        <v>24</v>
      </c>
      <c r="P259" t="s">
        <v>29</v>
      </c>
      <c r="Q259" t="s">
        <v>32</v>
      </c>
    </row>
    <row r="260" spans="1:17" x14ac:dyDescent="0.35">
      <c r="A260">
        <v>271</v>
      </c>
      <c r="B260">
        <v>20</v>
      </c>
      <c r="C260">
        <v>7</v>
      </c>
      <c r="D260">
        <v>8</v>
      </c>
      <c r="E260" s="1">
        <v>46198.8125</v>
      </c>
      <c r="F260">
        <v>1</v>
      </c>
      <c r="G260">
        <v>8</v>
      </c>
      <c r="H260" t="s">
        <v>22</v>
      </c>
      <c r="I260" t="s">
        <v>18</v>
      </c>
      <c r="J260">
        <v>8</v>
      </c>
      <c r="K260">
        <v>2026</v>
      </c>
      <c r="L260">
        <v>6</v>
      </c>
      <c r="M260">
        <v>19</v>
      </c>
      <c r="N260" t="s">
        <v>41</v>
      </c>
      <c r="O260" t="s">
        <v>13</v>
      </c>
      <c r="P260" t="s">
        <v>34</v>
      </c>
      <c r="Q260" t="s">
        <v>46</v>
      </c>
    </row>
    <row r="261" spans="1:17" x14ac:dyDescent="0.35">
      <c r="A261">
        <v>272</v>
      </c>
      <c r="B261">
        <v>16</v>
      </c>
      <c r="C261">
        <v>12</v>
      </c>
      <c r="D261">
        <v>9</v>
      </c>
      <c r="E261" s="1">
        <v>46321.729166666657</v>
      </c>
      <c r="F261">
        <v>2</v>
      </c>
      <c r="G261">
        <v>16</v>
      </c>
      <c r="H261" t="s">
        <v>22</v>
      </c>
      <c r="I261" t="s">
        <v>27</v>
      </c>
      <c r="J261">
        <v>8</v>
      </c>
      <c r="K261">
        <v>2026</v>
      </c>
      <c r="L261">
        <v>10</v>
      </c>
      <c r="M261">
        <v>17</v>
      </c>
      <c r="N261" t="s">
        <v>33</v>
      </c>
      <c r="O261" t="s">
        <v>13</v>
      </c>
      <c r="P261" t="s">
        <v>57</v>
      </c>
      <c r="Q261" t="s">
        <v>30</v>
      </c>
    </row>
    <row r="262" spans="1:17" x14ac:dyDescent="0.35">
      <c r="A262">
        <v>273</v>
      </c>
      <c r="B262">
        <v>5</v>
      </c>
      <c r="C262">
        <v>18</v>
      </c>
      <c r="D262">
        <v>10</v>
      </c>
      <c r="E262" s="1">
        <v>46136.791666666657</v>
      </c>
      <c r="F262">
        <v>5</v>
      </c>
      <c r="G262">
        <v>40</v>
      </c>
      <c r="H262" t="s">
        <v>22</v>
      </c>
      <c r="I262" t="s">
        <v>31</v>
      </c>
      <c r="J262">
        <v>8</v>
      </c>
      <c r="K262">
        <v>2026</v>
      </c>
      <c r="L262">
        <v>4</v>
      </c>
      <c r="M262">
        <v>19</v>
      </c>
      <c r="N262" t="s">
        <v>43</v>
      </c>
      <c r="O262" t="s">
        <v>13</v>
      </c>
      <c r="P262" t="s">
        <v>47</v>
      </c>
      <c r="Q262" t="s">
        <v>32</v>
      </c>
    </row>
    <row r="263" spans="1:17" x14ac:dyDescent="0.35">
      <c r="A263">
        <v>274</v>
      </c>
      <c r="B263">
        <v>15</v>
      </c>
      <c r="C263">
        <v>1</v>
      </c>
      <c r="D263">
        <v>1</v>
      </c>
      <c r="E263" s="1">
        <v>46042.9375</v>
      </c>
      <c r="F263">
        <v>1</v>
      </c>
      <c r="G263">
        <v>9</v>
      </c>
      <c r="H263" t="s">
        <v>22</v>
      </c>
      <c r="I263" t="s">
        <v>18</v>
      </c>
      <c r="J263">
        <v>9</v>
      </c>
      <c r="K263">
        <v>2026</v>
      </c>
      <c r="L263">
        <v>1</v>
      </c>
      <c r="M263">
        <v>22</v>
      </c>
      <c r="N263" t="s">
        <v>37</v>
      </c>
      <c r="O263" t="s">
        <v>13</v>
      </c>
      <c r="P263" t="s">
        <v>39</v>
      </c>
      <c r="Q263" t="s">
        <v>40</v>
      </c>
    </row>
    <row r="264" spans="1:17" x14ac:dyDescent="0.35">
      <c r="A264">
        <v>275</v>
      </c>
      <c r="B264">
        <v>2</v>
      </c>
      <c r="C264">
        <v>12</v>
      </c>
      <c r="D264">
        <v>4</v>
      </c>
      <c r="E264" s="1">
        <v>46042.833333333343</v>
      </c>
      <c r="F264">
        <v>1</v>
      </c>
      <c r="G264">
        <v>8</v>
      </c>
      <c r="H264" t="s">
        <v>17</v>
      </c>
      <c r="I264" t="s">
        <v>27</v>
      </c>
      <c r="J264">
        <v>8</v>
      </c>
      <c r="K264">
        <v>2026</v>
      </c>
      <c r="L264">
        <v>1</v>
      </c>
      <c r="M264">
        <v>20</v>
      </c>
      <c r="N264" t="s">
        <v>37</v>
      </c>
      <c r="O264" t="s">
        <v>13</v>
      </c>
      <c r="P264" t="s">
        <v>57</v>
      </c>
      <c r="Q264" t="s">
        <v>26</v>
      </c>
    </row>
    <row r="265" spans="1:17" x14ac:dyDescent="0.35">
      <c r="A265">
        <v>276</v>
      </c>
      <c r="B265">
        <v>7</v>
      </c>
      <c r="C265">
        <v>4</v>
      </c>
      <c r="D265">
        <v>6</v>
      </c>
      <c r="E265" s="1">
        <v>46310.604166666657</v>
      </c>
      <c r="F265">
        <v>6</v>
      </c>
      <c r="G265">
        <v>48</v>
      </c>
      <c r="H265" t="s">
        <v>22</v>
      </c>
      <c r="I265" t="s">
        <v>18</v>
      </c>
      <c r="J265">
        <v>8</v>
      </c>
      <c r="K265">
        <v>2026</v>
      </c>
      <c r="L265">
        <v>10</v>
      </c>
      <c r="M265">
        <v>14</v>
      </c>
      <c r="N265" t="s">
        <v>41</v>
      </c>
      <c r="O265" t="s">
        <v>13</v>
      </c>
      <c r="P265" t="s">
        <v>55</v>
      </c>
      <c r="Q265" t="s">
        <v>21</v>
      </c>
    </row>
    <row r="266" spans="1:17" x14ac:dyDescent="0.35">
      <c r="A266">
        <v>277</v>
      </c>
      <c r="B266">
        <v>12</v>
      </c>
      <c r="C266">
        <v>10</v>
      </c>
      <c r="D266">
        <v>10</v>
      </c>
      <c r="E266" s="1">
        <v>46170.895833333343</v>
      </c>
      <c r="F266">
        <v>6</v>
      </c>
      <c r="G266">
        <v>54</v>
      </c>
      <c r="H266" t="s">
        <v>22</v>
      </c>
      <c r="I266" t="s">
        <v>18</v>
      </c>
      <c r="J266">
        <v>9</v>
      </c>
      <c r="K266">
        <v>2026</v>
      </c>
      <c r="L266">
        <v>5</v>
      </c>
      <c r="M266">
        <v>21</v>
      </c>
      <c r="N266" t="s">
        <v>41</v>
      </c>
      <c r="O266" t="s">
        <v>13</v>
      </c>
      <c r="P266" t="s">
        <v>25</v>
      </c>
      <c r="Q266" t="s">
        <v>32</v>
      </c>
    </row>
    <row r="267" spans="1:17" x14ac:dyDescent="0.35">
      <c r="A267">
        <v>278</v>
      </c>
      <c r="B267">
        <v>15</v>
      </c>
      <c r="C267">
        <v>2</v>
      </c>
      <c r="D267">
        <v>9</v>
      </c>
      <c r="E267" s="1">
        <v>46041.895833333343</v>
      </c>
      <c r="F267">
        <v>2</v>
      </c>
      <c r="G267">
        <v>18</v>
      </c>
      <c r="H267" t="s">
        <v>22</v>
      </c>
      <c r="I267" t="s">
        <v>27</v>
      </c>
      <c r="J267">
        <v>9</v>
      </c>
      <c r="K267">
        <v>2026</v>
      </c>
      <c r="L267">
        <v>1</v>
      </c>
      <c r="M267">
        <v>21</v>
      </c>
      <c r="N267" t="s">
        <v>33</v>
      </c>
      <c r="O267" t="s">
        <v>13</v>
      </c>
      <c r="P267" t="s">
        <v>44</v>
      </c>
      <c r="Q267" t="s">
        <v>30</v>
      </c>
    </row>
    <row r="268" spans="1:17" x14ac:dyDescent="0.35">
      <c r="A268">
        <v>279</v>
      </c>
      <c r="B268">
        <v>6</v>
      </c>
      <c r="C268">
        <v>19</v>
      </c>
      <c r="D268">
        <v>6</v>
      </c>
      <c r="E268" s="1">
        <v>46025.916666666657</v>
      </c>
      <c r="F268">
        <v>3</v>
      </c>
      <c r="G268">
        <v>30</v>
      </c>
      <c r="H268" t="s">
        <v>22</v>
      </c>
      <c r="I268" t="s">
        <v>31</v>
      </c>
      <c r="J268">
        <v>10</v>
      </c>
      <c r="K268">
        <v>2026</v>
      </c>
      <c r="L268">
        <v>1</v>
      </c>
      <c r="M268">
        <v>22</v>
      </c>
      <c r="N268" t="s">
        <v>23</v>
      </c>
      <c r="O268" t="s">
        <v>24</v>
      </c>
      <c r="P268" t="s">
        <v>58</v>
      </c>
      <c r="Q268" t="s">
        <v>21</v>
      </c>
    </row>
    <row r="269" spans="1:17" x14ac:dyDescent="0.35">
      <c r="A269">
        <v>280</v>
      </c>
      <c r="B269">
        <v>12</v>
      </c>
      <c r="C269">
        <v>4</v>
      </c>
      <c r="D269">
        <v>10</v>
      </c>
      <c r="E269" s="1">
        <v>46363.791666666657</v>
      </c>
      <c r="F269">
        <v>3</v>
      </c>
      <c r="G269">
        <v>24</v>
      </c>
      <c r="H269" t="s">
        <v>22</v>
      </c>
      <c r="I269" t="s">
        <v>18</v>
      </c>
      <c r="J269">
        <v>8</v>
      </c>
      <c r="K269">
        <v>2026</v>
      </c>
      <c r="L269">
        <v>12</v>
      </c>
      <c r="M269">
        <v>19</v>
      </c>
      <c r="N269" t="s">
        <v>33</v>
      </c>
      <c r="O269" t="s">
        <v>13</v>
      </c>
      <c r="P269" t="s">
        <v>55</v>
      </c>
      <c r="Q269" t="s">
        <v>32</v>
      </c>
    </row>
    <row r="270" spans="1:17" x14ac:dyDescent="0.35">
      <c r="A270">
        <v>281</v>
      </c>
      <c r="B270">
        <v>19</v>
      </c>
      <c r="C270">
        <v>8</v>
      </c>
      <c r="D270">
        <v>4</v>
      </c>
      <c r="E270" s="1">
        <v>46322.833333333343</v>
      </c>
      <c r="F270">
        <v>5</v>
      </c>
      <c r="G270">
        <v>40</v>
      </c>
      <c r="H270" t="s">
        <v>22</v>
      </c>
      <c r="I270" t="s">
        <v>31</v>
      </c>
      <c r="J270">
        <v>8</v>
      </c>
      <c r="K270">
        <v>2026</v>
      </c>
      <c r="L270">
        <v>10</v>
      </c>
      <c r="M270">
        <v>20</v>
      </c>
      <c r="N270" t="s">
        <v>37</v>
      </c>
      <c r="O270" t="s">
        <v>13</v>
      </c>
      <c r="P270" t="s">
        <v>42</v>
      </c>
      <c r="Q270" t="s">
        <v>26</v>
      </c>
    </row>
    <row r="271" spans="1:17" x14ac:dyDescent="0.35">
      <c r="A271">
        <v>282</v>
      </c>
      <c r="B271">
        <v>13</v>
      </c>
      <c r="C271">
        <v>11</v>
      </c>
      <c r="D271">
        <v>2</v>
      </c>
      <c r="E271" s="1">
        <v>46311.666666666657</v>
      </c>
      <c r="F271">
        <v>6</v>
      </c>
      <c r="G271">
        <v>48</v>
      </c>
      <c r="H271" t="s">
        <v>22</v>
      </c>
      <c r="I271" t="s">
        <v>27</v>
      </c>
      <c r="J271">
        <v>8</v>
      </c>
      <c r="K271">
        <v>2026</v>
      </c>
      <c r="L271">
        <v>10</v>
      </c>
      <c r="M271">
        <v>16</v>
      </c>
      <c r="N271" t="s">
        <v>43</v>
      </c>
      <c r="O271" t="s">
        <v>13</v>
      </c>
      <c r="P271" t="s">
        <v>59</v>
      </c>
      <c r="Q271" t="s">
        <v>54</v>
      </c>
    </row>
    <row r="272" spans="1:17" x14ac:dyDescent="0.35">
      <c r="A272">
        <v>283</v>
      </c>
      <c r="B272">
        <v>10</v>
      </c>
      <c r="C272">
        <v>13</v>
      </c>
      <c r="D272">
        <v>2</v>
      </c>
      <c r="E272" s="1">
        <v>46163.625</v>
      </c>
      <c r="F272">
        <v>4</v>
      </c>
      <c r="G272">
        <v>32</v>
      </c>
      <c r="H272" t="s">
        <v>22</v>
      </c>
      <c r="I272" t="s">
        <v>31</v>
      </c>
      <c r="J272">
        <v>8</v>
      </c>
      <c r="K272">
        <v>2026</v>
      </c>
      <c r="L272">
        <v>5</v>
      </c>
      <c r="M272">
        <v>15</v>
      </c>
      <c r="N272" t="s">
        <v>41</v>
      </c>
      <c r="O272" t="s">
        <v>13</v>
      </c>
      <c r="P272" t="s">
        <v>49</v>
      </c>
      <c r="Q272" t="s">
        <v>54</v>
      </c>
    </row>
    <row r="273" spans="1:17" x14ac:dyDescent="0.35">
      <c r="A273">
        <v>284</v>
      </c>
      <c r="B273">
        <v>6</v>
      </c>
      <c r="C273">
        <v>1</v>
      </c>
      <c r="D273">
        <v>6</v>
      </c>
      <c r="E273" s="1">
        <v>46111.75</v>
      </c>
      <c r="F273">
        <v>1</v>
      </c>
      <c r="G273">
        <v>8</v>
      </c>
      <c r="H273" t="s">
        <v>22</v>
      </c>
      <c r="I273" t="s">
        <v>31</v>
      </c>
      <c r="J273">
        <v>8</v>
      </c>
      <c r="K273">
        <v>2026</v>
      </c>
      <c r="L273">
        <v>3</v>
      </c>
      <c r="M273">
        <v>18</v>
      </c>
      <c r="N273" t="s">
        <v>33</v>
      </c>
      <c r="O273" t="s">
        <v>13</v>
      </c>
      <c r="P273" t="s">
        <v>39</v>
      </c>
      <c r="Q273" t="s">
        <v>21</v>
      </c>
    </row>
    <row r="274" spans="1:17" x14ac:dyDescent="0.35">
      <c r="A274">
        <v>285</v>
      </c>
      <c r="B274">
        <v>1</v>
      </c>
      <c r="C274">
        <v>13</v>
      </c>
      <c r="D274">
        <v>1</v>
      </c>
      <c r="E274" s="1">
        <v>46192.979166666657</v>
      </c>
      <c r="F274">
        <v>3</v>
      </c>
      <c r="G274">
        <v>27</v>
      </c>
      <c r="H274" t="s">
        <v>22</v>
      </c>
      <c r="I274" t="s">
        <v>31</v>
      </c>
      <c r="J274">
        <v>9</v>
      </c>
      <c r="K274">
        <v>2026</v>
      </c>
      <c r="L274">
        <v>6</v>
      </c>
      <c r="M274">
        <v>23</v>
      </c>
      <c r="N274" t="s">
        <v>43</v>
      </c>
      <c r="O274" t="s">
        <v>13</v>
      </c>
      <c r="P274" t="s">
        <v>49</v>
      </c>
      <c r="Q274" t="s">
        <v>40</v>
      </c>
    </row>
    <row r="275" spans="1:17" x14ac:dyDescent="0.35">
      <c r="A275">
        <v>286</v>
      </c>
      <c r="B275">
        <v>1</v>
      </c>
      <c r="C275">
        <v>20</v>
      </c>
      <c r="D275">
        <v>6</v>
      </c>
      <c r="E275" s="1">
        <v>46285.875</v>
      </c>
      <c r="F275">
        <v>4</v>
      </c>
      <c r="G275">
        <v>40</v>
      </c>
      <c r="H275" t="s">
        <v>17</v>
      </c>
      <c r="I275" t="s">
        <v>31</v>
      </c>
      <c r="J275">
        <v>10</v>
      </c>
      <c r="K275">
        <v>2026</v>
      </c>
      <c r="L275">
        <v>9</v>
      </c>
      <c r="M275">
        <v>21</v>
      </c>
      <c r="N275" t="s">
        <v>28</v>
      </c>
      <c r="O275" t="s">
        <v>24</v>
      </c>
      <c r="P275" t="s">
        <v>36</v>
      </c>
      <c r="Q275" t="s">
        <v>21</v>
      </c>
    </row>
    <row r="276" spans="1:17" x14ac:dyDescent="0.35">
      <c r="A276">
        <v>287</v>
      </c>
      <c r="B276">
        <v>9</v>
      </c>
      <c r="C276">
        <v>14</v>
      </c>
      <c r="D276">
        <v>8</v>
      </c>
      <c r="E276" s="1">
        <v>46159.916666666657</v>
      </c>
      <c r="F276">
        <v>3</v>
      </c>
      <c r="G276">
        <v>30</v>
      </c>
      <c r="H276" t="s">
        <v>22</v>
      </c>
      <c r="I276" t="s">
        <v>18</v>
      </c>
      <c r="J276">
        <v>10</v>
      </c>
      <c r="K276">
        <v>2026</v>
      </c>
      <c r="L276">
        <v>5</v>
      </c>
      <c r="M276">
        <v>22</v>
      </c>
      <c r="N276" t="s">
        <v>28</v>
      </c>
      <c r="O276" t="s">
        <v>24</v>
      </c>
      <c r="P276" t="s">
        <v>29</v>
      </c>
      <c r="Q276" t="s">
        <v>46</v>
      </c>
    </row>
    <row r="277" spans="1:17" x14ac:dyDescent="0.35">
      <c r="A277">
        <v>288</v>
      </c>
      <c r="B277">
        <v>18</v>
      </c>
      <c r="C277">
        <v>11</v>
      </c>
      <c r="D277">
        <v>10</v>
      </c>
      <c r="E277" s="1">
        <v>46324.875</v>
      </c>
      <c r="F277">
        <v>4</v>
      </c>
      <c r="G277">
        <v>36</v>
      </c>
      <c r="H277" t="s">
        <v>22</v>
      </c>
      <c r="I277" t="s">
        <v>18</v>
      </c>
      <c r="J277">
        <v>9</v>
      </c>
      <c r="K277">
        <v>2026</v>
      </c>
      <c r="L277">
        <v>10</v>
      </c>
      <c r="M277">
        <v>21</v>
      </c>
      <c r="N277" t="s">
        <v>41</v>
      </c>
      <c r="O277" t="s">
        <v>13</v>
      </c>
      <c r="P277" t="s">
        <v>59</v>
      </c>
      <c r="Q277" t="s">
        <v>32</v>
      </c>
    </row>
    <row r="278" spans="1:17" x14ac:dyDescent="0.35">
      <c r="A278">
        <v>289</v>
      </c>
      <c r="B278">
        <v>18</v>
      </c>
      <c r="C278">
        <v>15</v>
      </c>
      <c r="D278">
        <v>4</v>
      </c>
      <c r="E278" s="1">
        <v>46323.916666666657</v>
      </c>
      <c r="F278">
        <v>3</v>
      </c>
      <c r="G278">
        <v>27</v>
      </c>
      <c r="H278" t="s">
        <v>22</v>
      </c>
      <c r="I278" t="s">
        <v>18</v>
      </c>
      <c r="J278">
        <v>9</v>
      </c>
      <c r="K278">
        <v>2026</v>
      </c>
      <c r="L278">
        <v>10</v>
      </c>
      <c r="M278">
        <v>22</v>
      </c>
      <c r="N278" t="s">
        <v>19</v>
      </c>
      <c r="O278" t="s">
        <v>13</v>
      </c>
      <c r="P278" t="s">
        <v>38</v>
      </c>
      <c r="Q278" t="s">
        <v>26</v>
      </c>
    </row>
    <row r="279" spans="1:17" x14ac:dyDescent="0.35">
      <c r="A279">
        <v>290</v>
      </c>
      <c r="B279">
        <v>18</v>
      </c>
      <c r="C279">
        <v>6</v>
      </c>
      <c r="D279">
        <v>6</v>
      </c>
      <c r="E279" s="1">
        <v>46193.729166666657</v>
      </c>
      <c r="F279">
        <v>3</v>
      </c>
      <c r="G279">
        <v>27</v>
      </c>
      <c r="H279" t="s">
        <v>22</v>
      </c>
      <c r="I279" t="s">
        <v>27</v>
      </c>
      <c r="J279">
        <v>9</v>
      </c>
      <c r="K279">
        <v>2026</v>
      </c>
      <c r="L279">
        <v>6</v>
      </c>
      <c r="M279">
        <v>17</v>
      </c>
      <c r="N279" t="s">
        <v>23</v>
      </c>
      <c r="O279" t="s">
        <v>24</v>
      </c>
      <c r="P279" t="s">
        <v>52</v>
      </c>
      <c r="Q279" t="s">
        <v>21</v>
      </c>
    </row>
    <row r="280" spans="1:17" x14ac:dyDescent="0.35">
      <c r="A280">
        <v>291</v>
      </c>
      <c r="B280">
        <v>4</v>
      </c>
      <c r="C280">
        <v>4</v>
      </c>
      <c r="D280">
        <v>5</v>
      </c>
      <c r="E280" s="1">
        <v>46319.729166666657</v>
      </c>
      <c r="F280">
        <v>2</v>
      </c>
      <c r="G280">
        <v>18</v>
      </c>
      <c r="H280" t="s">
        <v>22</v>
      </c>
      <c r="I280" t="s">
        <v>27</v>
      </c>
      <c r="J280">
        <v>9</v>
      </c>
      <c r="K280">
        <v>2026</v>
      </c>
      <c r="L280">
        <v>10</v>
      </c>
      <c r="M280">
        <v>17</v>
      </c>
      <c r="N280" t="s">
        <v>23</v>
      </c>
      <c r="O280" t="s">
        <v>24</v>
      </c>
      <c r="P280" t="s">
        <v>55</v>
      </c>
      <c r="Q280" t="s">
        <v>50</v>
      </c>
    </row>
    <row r="281" spans="1:17" x14ac:dyDescent="0.35">
      <c r="A281">
        <v>292</v>
      </c>
      <c r="B281">
        <v>2</v>
      </c>
      <c r="C281">
        <v>12</v>
      </c>
      <c r="D281">
        <v>1</v>
      </c>
      <c r="E281" s="1">
        <v>46186.833333333343</v>
      </c>
      <c r="F281">
        <v>3</v>
      </c>
      <c r="G281">
        <v>27</v>
      </c>
      <c r="H281" t="s">
        <v>22</v>
      </c>
      <c r="I281" t="s">
        <v>27</v>
      </c>
      <c r="J281">
        <v>9</v>
      </c>
      <c r="K281">
        <v>2026</v>
      </c>
      <c r="L281">
        <v>6</v>
      </c>
      <c r="M281">
        <v>20</v>
      </c>
      <c r="N281" t="s">
        <v>23</v>
      </c>
      <c r="O281" t="s">
        <v>24</v>
      </c>
      <c r="P281" t="s">
        <v>57</v>
      </c>
      <c r="Q281" t="s">
        <v>40</v>
      </c>
    </row>
    <row r="282" spans="1:17" x14ac:dyDescent="0.35">
      <c r="A282">
        <v>293</v>
      </c>
      <c r="B282">
        <v>15</v>
      </c>
      <c r="C282">
        <v>7</v>
      </c>
      <c r="D282">
        <v>7</v>
      </c>
      <c r="E282" s="1">
        <v>46294.666666666657</v>
      </c>
      <c r="F282">
        <v>6</v>
      </c>
      <c r="G282">
        <v>48</v>
      </c>
      <c r="H282" t="s">
        <v>22</v>
      </c>
      <c r="I282" t="s">
        <v>27</v>
      </c>
      <c r="J282">
        <v>8</v>
      </c>
      <c r="K282">
        <v>2026</v>
      </c>
      <c r="L282">
        <v>9</v>
      </c>
      <c r="M282">
        <v>16</v>
      </c>
      <c r="N282" t="s">
        <v>37</v>
      </c>
      <c r="O282" t="s">
        <v>13</v>
      </c>
      <c r="P282" t="s">
        <v>34</v>
      </c>
      <c r="Q282" t="s">
        <v>35</v>
      </c>
    </row>
    <row r="283" spans="1:17" x14ac:dyDescent="0.35">
      <c r="A283">
        <v>294</v>
      </c>
      <c r="B283">
        <v>17</v>
      </c>
      <c r="C283">
        <v>15</v>
      </c>
      <c r="D283">
        <v>5</v>
      </c>
      <c r="E283" s="1">
        <v>46196.9375</v>
      </c>
      <c r="F283">
        <v>4</v>
      </c>
      <c r="G283">
        <v>36</v>
      </c>
      <c r="H283" t="s">
        <v>22</v>
      </c>
      <c r="I283" t="s">
        <v>18</v>
      </c>
      <c r="J283">
        <v>9</v>
      </c>
      <c r="K283">
        <v>2026</v>
      </c>
      <c r="L283">
        <v>6</v>
      </c>
      <c r="M283">
        <v>22</v>
      </c>
      <c r="N283" t="s">
        <v>37</v>
      </c>
      <c r="O283" t="s">
        <v>13</v>
      </c>
      <c r="P283" t="s">
        <v>38</v>
      </c>
      <c r="Q283" t="s">
        <v>50</v>
      </c>
    </row>
    <row r="284" spans="1:17" x14ac:dyDescent="0.35">
      <c r="A284">
        <v>295</v>
      </c>
      <c r="B284">
        <v>7</v>
      </c>
      <c r="C284">
        <v>20</v>
      </c>
      <c r="D284">
        <v>4</v>
      </c>
      <c r="E284" s="1">
        <v>46060.8125</v>
      </c>
      <c r="F284">
        <v>3</v>
      </c>
      <c r="G284">
        <v>27</v>
      </c>
      <c r="H284" t="s">
        <v>22</v>
      </c>
      <c r="I284" t="s">
        <v>31</v>
      </c>
      <c r="J284">
        <v>9</v>
      </c>
      <c r="K284">
        <v>2026</v>
      </c>
      <c r="L284">
        <v>2</v>
      </c>
      <c r="M284">
        <v>19</v>
      </c>
      <c r="N284" t="s">
        <v>23</v>
      </c>
      <c r="O284" t="s">
        <v>24</v>
      </c>
      <c r="P284" t="s">
        <v>36</v>
      </c>
      <c r="Q284" t="s">
        <v>26</v>
      </c>
    </row>
    <row r="285" spans="1:17" x14ac:dyDescent="0.35">
      <c r="A285">
        <v>296</v>
      </c>
      <c r="B285">
        <v>9</v>
      </c>
      <c r="C285">
        <v>20</v>
      </c>
      <c r="D285">
        <v>4</v>
      </c>
      <c r="E285" s="1">
        <v>46270.833333333343</v>
      </c>
      <c r="F285">
        <v>6</v>
      </c>
      <c r="G285">
        <v>54</v>
      </c>
      <c r="H285" t="s">
        <v>22</v>
      </c>
      <c r="I285" t="s">
        <v>31</v>
      </c>
      <c r="J285">
        <v>9</v>
      </c>
      <c r="K285">
        <v>2026</v>
      </c>
      <c r="L285">
        <v>9</v>
      </c>
      <c r="M285">
        <v>20</v>
      </c>
      <c r="N285" t="s">
        <v>23</v>
      </c>
      <c r="O285" t="s">
        <v>24</v>
      </c>
      <c r="P285" t="s">
        <v>36</v>
      </c>
      <c r="Q285" t="s">
        <v>26</v>
      </c>
    </row>
    <row r="286" spans="1:17" x14ac:dyDescent="0.35">
      <c r="A286">
        <v>297</v>
      </c>
      <c r="B286">
        <v>2</v>
      </c>
      <c r="C286">
        <v>9</v>
      </c>
      <c r="D286">
        <v>7</v>
      </c>
      <c r="E286" s="1">
        <v>46191.645833333343</v>
      </c>
      <c r="F286">
        <v>6</v>
      </c>
      <c r="G286">
        <v>48</v>
      </c>
      <c r="H286" t="s">
        <v>22</v>
      </c>
      <c r="I286" t="s">
        <v>31</v>
      </c>
      <c r="J286">
        <v>8</v>
      </c>
      <c r="K286">
        <v>2026</v>
      </c>
      <c r="L286">
        <v>6</v>
      </c>
      <c r="M286">
        <v>15</v>
      </c>
      <c r="N286" t="s">
        <v>41</v>
      </c>
      <c r="O286" t="s">
        <v>13</v>
      </c>
      <c r="P286" t="s">
        <v>48</v>
      </c>
      <c r="Q286" t="s">
        <v>35</v>
      </c>
    </row>
    <row r="287" spans="1:17" x14ac:dyDescent="0.35">
      <c r="A287">
        <v>298</v>
      </c>
      <c r="B287">
        <v>9</v>
      </c>
      <c r="C287">
        <v>17</v>
      </c>
      <c r="D287">
        <v>4</v>
      </c>
      <c r="E287" s="1">
        <v>46222.9375</v>
      </c>
      <c r="F287">
        <v>6</v>
      </c>
      <c r="G287">
        <v>60</v>
      </c>
      <c r="H287" t="s">
        <v>22</v>
      </c>
      <c r="I287" t="s">
        <v>27</v>
      </c>
      <c r="J287">
        <v>10</v>
      </c>
      <c r="K287">
        <v>2026</v>
      </c>
      <c r="L287">
        <v>7</v>
      </c>
      <c r="M287">
        <v>22</v>
      </c>
      <c r="N287" t="s">
        <v>28</v>
      </c>
      <c r="O287" t="s">
        <v>24</v>
      </c>
      <c r="P287" t="s">
        <v>56</v>
      </c>
      <c r="Q287" t="s">
        <v>26</v>
      </c>
    </row>
    <row r="288" spans="1:17" x14ac:dyDescent="0.35">
      <c r="A288">
        <v>299</v>
      </c>
      <c r="B288">
        <v>10</v>
      </c>
      <c r="C288">
        <v>14</v>
      </c>
      <c r="D288">
        <v>4</v>
      </c>
      <c r="E288" s="1">
        <v>46225.625</v>
      </c>
      <c r="F288">
        <v>6</v>
      </c>
      <c r="G288">
        <v>48</v>
      </c>
      <c r="H288" t="s">
        <v>22</v>
      </c>
      <c r="I288" t="s">
        <v>27</v>
      </c>
      <c r="J288">
        <v>8</v>
      </c>
      <c r="K288">
        <v>2026</v>
      </c>
      <c r="L288">
        <v>7</v>
      </c>
      <c r="M288">
        <v>15</v>
      </c>
      <c r="N288" t="s">
        <v>19</v>
      </c>
      <c r="O288" t="s">
        <v>13</v>
      </c>
      <c r="P288" t="s">
        <v>29</v>
      </c>
      <c r="Q288" t="s">
        <v>26</v>
      </c>
    </row>
    <row r="289" spans="1:17" x14ac:dyDescent="0.35">
      <c r="A289">
        <v>300</v>
      </c>
      <c r="B289">
        <v>11</v>
      </c>
      <c r="C289">
        <v>8</v>
      </c>
      <c r="D289">
        <v>1</v>
      </c>
      <c r="E289" s="1">
        <v>46108.583333333343</v>
      </c>
      <c r="F289">
        <v>4</v>
      </c>
      <c r="G289">
        <v>32</v>
      </c>
      <c r="H289" t="s">
        <v>22</v>
      </c>
      <c r="I289" t="s">
        <v>31</v>
      </c>
      <c r="J289">
        <v>8</v>
      </c>
      <c r="K289">
        <v>2026</v>
      </c>
      <c r="L289">
        <v>3</v>
      </c>
      <c r="M289">
        <v>14</v>
      </c>
      <c r="N289" t="s">
        <v>43</v>
      </c>
      <c r="O289" t="s">
        <v>13</v>
      </c>
      <c r="P289" t="s">
        <v>42</v>
      </c>
      <c r="Q289" t="s">
        <v>40</v>
      </c>
    </row>
    <row r="290" spans="1:17" x14ac:dyDescent="0.35">
      <c r="A290">
        <v>301</v>
      </c>
      <c r="B290">
        <v>12</v>
      </c>
      <c r="C290">
        <v>15</v>
      </c>
      <c r="D290">
        <v>7</v>
      </c>
      <c r="E290" s="1">
        <v>46245.9375</v>
      </c>
      <c r="F290">
        <v>1</v>
      </c>
      <c r="G290">
        <v>9</v>
      </c>
      <c r="H290" t="s">
        <v>22</v>
      </c>
      <c r="I290" t="s">
        <v>18</v>
      </c>
      <c r="J290">
        <v>9</v>
      </c>
      <c r="K290">
        <v>2026</v>
      </c>
      <c r="L290">
        <v>8</v>
      </c>
      <c r="M290">
        <v>22</v>
      </c>
      <c r="N290" t="s">
        <v>37</v>
      </c>
      <c r="O290" t="s">
        <v>13</v>
      </c>
      <c r="P290" t="s">
        <v>38</v>
      </c>
      <c r="Q290" t="s">
        <v>35</v>
      </c>
    </row>
    <row r="291" spans="1:17" x14ac:dyDescent="0.35">
      <c r="A291">
        <v>302</v>
      </c>
      <c r="B291">
        <v>7</v>
      </c>
      <c r="C291">
        <v>9</v>
      </c>
      <c r="D291">
        <v>9</v>
      </c>
      <c r="E291" s="1">
        <v>46244.916666666657</v>
      </c>
      <c r="F291">
        <v>4</v>
      </c>
      <c r="G291">
        <v>36</v>
      </c>
      <c r="H291" t="s">
        <v>22</v>
      </c>
      <c r="I291" t="s">
        <v>18</v>
      </c>
      <c r="J291">
        <v>9</v>
      </c>
      <c r="K291">
        <v>2026</v>
      </c>
      <c r="L291">
        <v>8</v>
      </c>
      <c r="M291">
        <v>22</v>
      </c>
      <c r="N291" t="s">
        <v>33</v>
      </c>
      <c r="O291" t="s">
        <v>13</v>
      </c>
      <c r="P291" t="s">
        <v>48</v>
      </c>
      <c r="Q291" t="s">
        <v>30</v>
      </c>
    </row>
    <row r="292" spans="1:17" x14ac:dyDescent="0.35">
      <c r="A292">
        <v>303</v>
      </c>
      <c r="B292">
        <v>5</v>
      </c>
      <c r="C292">
        <v>20</v>
      </c>
      <c r="D292">
        <v>9</v>
      </c>
      <c r="E292" s="1">
        <v>46068.791666666657</v>
      </c>
      <c r="F292">
        <v>3</v>
      </c>
      <c r="G292">
        <v>27</v>
      </c>
      <c r="H292" t="s">
        <v>17</v>
      </c>
      <c r="I292" t="s">
        <v>27</v>
      </c>
      <c r="J292">
        <v>9</v>
      </c>
      <c r="K292">
        <v>2026</v>
      </c>
      <c r="L292">
        <v>2</v>
      </c>
      <c r="M292">
        <v>19</v>
      </c>
      <c r="N292" t="s">
        <v>28</v>
      </c>
      <c r="O292" t="s">
        <v>24</v>
      </c>
      <c r="P292" t="s">
        <v>36</v>
      </c>
      <c r="Q292" t="s">
        <v>30</v>
      </c>
    </row>
    <row r="293" spans="1:17" x14ac:dyDescent="0.35">
      <c r="A293">
        <v>304</v>
      </c>
      <c r="B293">
        <v>16</v>
      </c>
      <c r="C293">
        <v>20</v>
      </c>
      <c r="D293">
        <v>10</v>
      </c>
      <c r="E293" s="1">
        <v>46270.625</v>
      </c>
      <c r="F293">
        <v>3</v>
      </c>
      <c r="G293">
        <v>27</v>
      </c>
      <c r="H293" t="s">
        <v>22</v>
      </c>
      <c r="I293" t="s">
        <v>27</v>
      </c>
      <c r="J293">
        <v>9</v>
      </c>
      <c r="K293">
        <v>2026</v>
      </c>
      <c r="L293">
        <v>9</v>
      </c>
      <c r="M293">
        <v>15</v>
      </c>
      <c r="N293" t="s">
        <v>23</v>
      </c>
      <c r="O293" t="s">
        <v>24</v>
      </c>
      <c r="P293" t="s">
        <v>36</v>
      </c>
      <c r="Q293" t="s">
        <v>32</v>
      </c>
    </row>
    <row r="294" spans="1:17" x14ac:dyDescent="0.35">
      <c r="A294">
        <v>305</v>
      </c>
      <c r="B294">
        <v>7</v>
      </c>
      <c r="C294">
        <v>2</v>
      </c>
      <c r="D294">
        <v>5</v>
      </c>
      <c r="E294" s="1">
        <v>46265.958333333343</v>
      </c>
      <c r="F294">
        <v>1</v>
      </c>
      <c r="G294">
        <v>9</v>
      </c>
      <c r="H294" t="s">
        <v>22</v>
      </c>
      <c r="I294" t="s">
        <v>27</v>
      </c>
      <c r="J294">
        <v>9</v>
      </c>
      <c r="K294">
        <v>2026</v>
      </c>
      <c r="L294">
        <v>8</v>
      </c>
      <c r="M294">
        <v>23</v>
      </c>
      <c r="N294" t="s">
        <v>33</v>
      </c>
      <c r="O294" t="s">
        <v>13</v>
      </c>
      <c r="P294" t="s">
        <v>44</v>
      </c>
      <c r="Q294" t="s">
        <v>50</v>
      </c>
    </row>
    <row r="295" spans="1:17" x14ac:dyDescent="0.35">
      <c r="A295">
        <v>306</v>
      </c>
      <c r="B295">
        <v>1</v>
      </c>
      <c r="C295">
        <v>10</v>
      </c>
      <c r="D295">
        <v>8</v>
      </c>
      <c r="E295" s="1">
        <v>46383.916666666657</v>
      </c>
      <c r="F295">
        <v>1</v>
      </c>
      <c r="G295">
        <v>10</v>
      </c>
      <c r="H295" t="s">
        <v>22</v>
      </c>
      <c r="I295" t="s">
        <v>31</v>
      </c>
      <c r="J295">
        <v>10</v>
      </c>
      <c r="K295">
        <v>2026</v>
      </c>
      <c r="L295">
        <v>12</v>
      </c>
      <c r="M295">
        <v>22</v>
      </c>
      <c r="N295" t="s">
        <v>28</v>
      </c>
      <c r="O295" t="s">
        <v>24</v>
      </c>
      <c r="P295" t="s">
        <v>25</v>
      </c>
      <c r="Q295" t="s">
        <v>46</v>
      </c>
    </row>
    <row r="296" spans="1:17" x14ac:dyDescent="0.35">
      <c r="A296">
        <v>307</v>
      </c>
      <c r="B296">
        <v>5</v>
      </c>
      <c r="C296">
        <v>6</v>
      </c>
      <c r="D296">
        <v>6</v>
      </c>
      <c r="E296" s="1">
        <v>46075.604166666657</v>
      </c>
      <c r="F296">
        <v>2</v>
      </c>
      <c r="G296">
        <v>18</v>
      </c>
      <c r="H296" t="s">
        <v>22</v>
      </c>
      <c r="I296" t="s">
        <v>27</v>
      </c>
      <c r="J296">
        <v>9</v>
      </c>
      <c r="K296">
        <v>2026</v>
      </c>
      <c r="L296">
        <v>2</v>
      </c>
      <c r="M296">
        <v>14</v>
      </c>
      <c r="N296" t="s">
        <v>28</v>
      </c>
      <c r="O296" t="s">
        <v>24</v>
      </c>
      <c r="P296" t="s">
        <v>52</v>
      </c>
      <c r="Q296" t="s">
        <v>21</v>
      </c>
    </row>
    <row r="297" spans="1:17" x14ac:dyDescent="0.35">
      <c r="A297">
        <v>308</v>
      </c>
      <c r="B297">
        <v>15</v>
      </c>
      <c r="C297">
        <v>3</v>
      </c>
      <c r="D297">
        <v>8</v>
      </c>
      <c r="E297" s="1">
        <v>46105.729166666657</v>
      </c>
      <c r="F297">
        <v>3</v>
      </c>
      <c r="G297">
        <v>24</v>
      </c>
      <c r="H297" t="s">
        <v>22</v>
      </c>
      <c r="I297" t="s">
        <v>31</v>
      </c>
      <c r="J297">
        <v>8</v>
      </c>
      <c r="K297">
        <v>2026</v>
      </c>
      <c r="L297">
        <v>3</v>
      </c>
      <c r="M297">
        <v>17</v>
      </c>
      <c r="N297" t="s">
        <v>37</v>
      </c>
      <c r="O297" t="s">
        <v>13</v>
      </c>
      <c r="P297" t="s">
        <v>20</v>
      </c>
      <c r="Q297" t="s">
        <v>46</v>
      </c>
    </row>
    <row r="298" spans="1:17" x14ac:dyDescent="0.35">
      <c r="A298">
        <v>309</v>
      </c>
      <c r="B298">
        <v>2</v>
      </c>
      <c r="C298">
        <v>1</v>
      </c>
      <c r="D298">
        <v>5</v>
      </c>
      <c r="E298" s="1">
        <v>46063.604166666657</v>
      </c>
      <c r="F298">
        <v>5</v>
      </c>
      <c r="G298">
        <v>40</v>
      </c>
      <c r="H298" t="s">
        <v>22</v>
      </c>
      <c r="I298" t="s">
        <v>27</v>
      </c>
      <c r="J298">
        <v>8</v>
      </c>
      <c r="K298">
        <v>2026</v>
      </c>
      <c r="L298">
        <v>2</v>
      </c>
      <c r="M298">
        <v>14</v>
      </c>
      <c r="N298" t="s">
        <v>37</v>
      </c>
      <c r="O298" t="s">
        <v>13</v>
      </c>
      <c r="P298" t="s">
        <v>39</v>
      </c>
      <c r="Q298" t="s">
        <v>50</v>
      </c>
    </row>
    <row r="299" spans="1:17" x14ac:dyDescent="0.35">
      <c r="A299">
        <v>310</v>
      </c>
      <c r="B299">
        <v>4</v>
      </c>
      <c r="C299">
        <v>10</v>
      </c>
      <c r="D299">
        <v>9</v>
      </c>
      <c r="E299" s="1">
        <v>46178.708333333343</v>
      </c>
      <c r="F299">
        <v>4</v>
      </c>
      <c r="G299">
        <v>32</v>
      </c>
      <c r="H299" t="s">
        <v>17</v>
      </c>
      <c r="I299" t="s">
        <v>27</v>
      </c>
      <c r="J299">
        <v>8</v>
      </c>
      <c r="K299">
        <v>2026</v>
      </c>
      <c r="L299">
        <v>6</v>
      </c>
      <c r="M299">
        <v>17</v>
      </c>
      <c r="N299" t="s">
        <v>43</v>
      </c>
      <c r="O299" t="s">
        <v>13</v>
      </c>
      <c r="P299" t="s">
        <v>25</v>
      </c>
      <c r="Q299" t="s">
        <v>30</v>
      </c>
    </row>
    <row r="300" spans="1:17" x14ac:dyDescent="0.35">
      <c r="A300">
        <v>311</v>
      </c>
      <c r="B300">
        <v>11</v>
      </c>
      <c r="C300">
        <v>14</v>
      </c>
      <c r="D300">
        <v>4</v>
      </c>
      <c r="E300" s="1">
        <v>46227.645833333343</v>
      </c>
      <c r="F300">
        <v>5</v>
      </c>
      <c r="G300">
        <v>40</v>
      </c>
      <c r="H300" t="s">
        <v>22</v>
      </c>
      <c r="I300" t="s">
        <v>18</v>
      </c>
      <c r="J300">
        <v>8</v>
      </c>
      <c r="K300">
        <v>2026</v>
      </c>
      <c r="L300">
        <v>7</v>
      </c>
      <c r="M300">
        <v>15</v>
      </c>
      <c r="N300" t="s">
        <v>43</v>
      </c>
      <c r="O300" t="s">
        <v>13</v>
      </c>
      <c r="P300" t="s">
        <v>29</v>
      </c>
      <c r="Q300" t="s">
        <v>26</v>
      </c>
    </row>
    <row r="301" spans="1:17" x14ac:dyDescent="0.35">
      <c r="A301">
        <v>312</v>
      </c>
      <c r="B301">
        <v>11</v>
      </c>
      <c r="C301">
        <v>6</v>
      </c>
      <c r="D301">
        <v>6</v>
      </c>
      <c r="E301" s="1">
        <v>46335.75</v>
      </c>
      <c r="F301">
        <v>1</v>
      </c>
      <c r="G301">
        <v>8</v>
      </c>
      <c r="H301" t="s">
        <v>22</v>
      </c>
      <c r="I301" t="s">
        <v>27</v>
      </c>
      <c r="J301">
        <v>8</v>
      </c>
      <c r="K301">
        <v>2026</v>
      </c>
      <c r="L301">
        <v>11</v>
      </c>
      <c r="M301">
        <v>18</v>
      </c>
      <c r="N301" t="s">
        <v>33</v>
      </c>
      <c r="O301" t="s">
        <v>13</v>
      </c>
      <c r="P301" t="s">
        <v>52</v>
      </c>
      <c r="Q301" t="s">
        <v>21</v>
      </c>
    </row>
    <row r="302" spans="1:17" x14ac:dyDescent="0.35">
      <c r="A302">
        <v>313</v>
      </c>
      <c r="B302">
        <v>5</v>
      </c>
      <c r="C302">
        <v>20</v>
      </c>
      <c r="D302">
        <v>5</v>
      </c>
      <c r="E302" s="1">
        <v>46175.895833333343</v>
      </c>
      <c r="F302">
        <v>5</v>
      </c>
      <c r="G302">
        <v>45</v>
      </c>
      <c r="H302" t="s">
        <v>22</v>
      </c>
      <c r="I302" t="s">
        <v>31</v>
      </c>
      <c r="J302">
        <v>9</v>
      </c>
      <c r="K302">
        <v>2026</v>
      </c>
      <c r="L302">
        <v>6</v>
      </c>
      <c r="M302">
        <v>21</v>
      </c>
      <c r="N302" t="s">
        <v>37</v>
      </c>
      <c r="O302" t="s">
        <v>13</v>
      </c>
      <c r="P302" t="s">
        <v>36</v>
      </c>
      <c r="Q302" t="s">
        <v>50</v>
      </c>
    </row>
    <row r="303" spans="1:17" x14ac:dyDescent="0.35">
      <c r="A303">
        <v>314</v>
      </c>
      <c r="B303">
        <v>5</v>
      </c>
      <c r="C303">
        <v>12</v>
      </c>
      <c r="D303">
        <v>4</v>
      </c>
      <c r="E303" s="1">
        <v>46114.770833333343</v>
      </c>
      <c r="F303">
        <v>3</v>
      </c>
      <c r="G303">
        <v>24</v>
      </c>
      <c r="H303" t="s">
        <v>22</v>
      </c>
      <c r="I303" t="s">
        <v>31</v>
      </c>
      <c r="J303">
        <v>8</v>
      </c>
      <c r="K303">
        <v>2026</v>
      </c>
      <c r="L303">
        <v>4</v>
      </c>
      <c r="M303">
        <v>18</v>
      </c>
      <c r="N303" t="s">
        <v>41</v>
      </c>
      <c r="O303" t="s">
        <v>13</v>
      </c>
      <c r="P303" t="s">
        <v>57</v>
      </c>
      <c r="Q303" t="s">
        <v>26</v>
      </c>
    </row>
    <row r="304" spans="1:17" x14ac:dyDescent="0.35">
      <c r="A304">
        <v>315</v>
      </c>
      <c r="B304">
        <v>17</v>
      </c>
      <c r="C304">
        <v>14</v>
      </c>
      <c r="D304">
        <v>8</v>
      </c>
      <c r="E304" s="1">
        <v>46098.75</v>
      </c>
      <c r="F304">
        <v>6</v>
      </c>
      <c r="G304">
        <v>48</v>
      </c>
      <c r="H304" t="s">
        <v>22</v>
      </c>
      <c r="I304" t="s">
        <v>27</v>
      </c>
      <c r="J304">
        <v>8</v>
      </c>
      <c r="K304">
        <v>2026</v>
      </c>
      <c r="L304">
        <v>3</v>
      </c>
      <c r="M304">
        <v>18</v>
      </c>
      <c r="N304" t="s">
        <v>37</v>
      </c>
      <c r="O304" t="s">
        <v>13</v>
      </c>
      <c r="P304" t="s">
        <v>29</v>
      </c>
      <c r="Q304" t="s">
        <v>46</v>
      </c>
    </row>
    <row r="305" spans="1:17" x14ac:dyDescent="0.35">
      <c r="A305">
        <v>316</v>
      </c>
      <c r="B305">
        <v>18</v>
      </c>
      <c r="C305">
        <v>14</v>
      </c>
      <c r="D305">
        <v>6</v>
      </c>
      <c r="E305" s="1">
        <v>46269.875</v>
      </c>
      <c r="F305">
        <v>3</v>
      </c>
      <c r="G305">
        <v>27</v>
      </c>
      <c r="H305" t="s">
        <v>22</v>
      </c>
      <c r="I305" t="s">
        <v>27</v>
      </c>
      <c r="J305">
        <v>9</v>
      </c>
      <c r="K305">
        <v>2026</v>
      </c>
      <c r="L305">
        <v>9</v>
      </c>
      <c r="M305">
        <v>21</v>
      </c>
      <c r="N305" t="s">
        <v>43</v>
      </c>
      <c r="O305" t="s">
        <v>13</v>
      </c>
      <c r="P305" t="s">
        <v>29</v>
      </c>
      <c r="Q305" t="s">
        <v>21</v>
      </c>
    </row>
    <row r="306" spans="1:17" x14ac:dyDescent="0.35">
      <c r="A306">
        <v>317</v>
      </c>
      <c r="B306">
        <v>18</v>
      </c>
      <c r="C306">
        <v>9</v>
      </c>
      <c r="D306">
        <v>1</v>
      </c>
      <c r="E306" s="1">
        <v>46232.604166666657</v>
      </c>
      <c r="F306">
        <v>4</v>
      </c>
      <c r="G306">
        <v>32</v>
      </c>
      <c r="H306" t="s">
        <v>22</v>
      </c>
      <c r="I306" t="s">
        <v>27</v>
      </c>
      <c r="J306">
        <v>8</v>
      </c>
      <c r="K306">
        <v>2026</v>
      </c>
      <c r="L306">
        <v>7</v>
      </c>
      <c r="M306">
        <v>14</v>
      </c>
      <c r="N306" t="s">
        <v>19</v>
      </c>
      <c r="O306" t="s">
        <v>13</v>
      </c>
      <c r="P306" t="s">
        <v>48</v>
      </c>
      <c r="Q306" t="s">
        <v>40</v>
      </c>
    </row>
    <row r="307" spans="1:17" x14ac:dyDescent="0.35">
      <c r="A307">
        <v>318</v>
      </c>
      <c r="B307">
        <v>18</v>
      </c>
      <c r="C307">
        <v>3</v>
      </c>
      <c r="D307">
        <v>5</v>
      </c>
      <c r="E307" s="1">
        <v>46225.979166666657</v>
      </c>
      <c r="F307">
        <v>6</v>
      </c>
      <c r="G307">
        <v>54</v>
      </c>
      <c r="H307" t="s">
        <v>17</v>
      </c>
      <c r="I307" t="s">
        <v>27</v>
      </c>
      <c r="J307">
        <v>9</v>
      </c>
      <c r="K307">
        <v>2026</v>
      </c>
      <c r="L307">
        <v>7</v>
      </c>
      <c r="M307">
        <v>23</v>
      </c>
      <c r="N307" t="s">
        <v>19</v>
      </c>
      <c r="O307" t="s">
        <v>13</v>
      </c>
      <c r="P307" t="s">
        <v>20</v>
      </c>
      <c r="Q307" t="s">
        <v>50</v>
      </c>
    </row>
    <row r="308" spans="1:17" x14ac:dyDescent="0.35">
      <c r="A308">
        <v>319</v>
      </c>
      <c r="B308">
        <v>14</v>
      </c>
      <c r="C308">
        <v>4</v>
      </c>
      <c r="D308">
        <v>5</v>
      </c>
      <c r="E308" s="1">
        <v>46047.979166666657</v>
      </c>
      <c r="F308">
        <v>2</v>
      </c>
      <c r="G308">
        <v>20</v>
      </c>
      <c r="H308" t="s">
        <v>22</v>
      </c>
      <c r="I308" t="s">
        <v>27</v>
      </c>
      <c r="J308">
        <v>10</v>
      </c>
      <c r="K308">
        <v>2026</v>
      </c>
      <c r="L308">
        <v>1</v>
      </c>
      <c r="M308">
        <v>23</v>
      </c>
      <c r="N308" t="s">
        <v>28</v>
      </c>
      <c r="O308" t="s">
        <v>24</v>
      </c>
      <c r="P308" t="s">
        <v>55</v>
      </c>
      <c r="Q308" t="s">
        <v>50</v>
      </c>
    </row>
    <row r="309" spans="1:17" x14ac:dyDescent="0.35">
      <c r="A309">
        <v>320</v>
      </c>
      <c r="B309">
        <v>20</v>
      </c>
      <c r="C309">
        <v>16</v>
      </c>
      <c r="D309">
        <v>8</v>
      </c>
      <c r="E309" s="1">
        <v>46066.979166666657</v>
      </c>
      <c r="F309">
        <v>4</v>
      </c>
      <c r="G309">
        <v>36</v>
      </c>
      <c r="H309" t="s">
        <v>22</v>
      </c>
      <c r="I309" t="s">
        <v>18</v>
      </c>
      <c r="J309">
        <v>9</v>
      </c>
      <c r="K309">
        <v>2026</v>
      </c>
      <c r="L309">
        <v>2</v>
      </c>
      <c r="M309">
        <v>23</v>
      </c>
      <c r="N309" t="s">
        <v>43</v>
      </c>
      <c r="O309" t="s">
        <v>13</v>
      </c>
      <c r="P309" t="s">
        <v>51</v>
      </c>
      <c r="Q309" t="s">
        <v>46</v>
      </c>
    </row>
    <row r="310" spans="1:17" x14ac:dyDescent="0.35">
      <c r="A310">
        <v>321</v>
      </c>
      <c r="B310">
        <v>7</v>
      </c>
      <c r="C310">
        <v>20</v>
      </c>
      <c r="D310">
        <v>4</v>
      </c>
      <c r="E310" s="1">
        <v>46287.770833333343</v>
      </c>
      <c r="F310">
        <v>4</v>
      </c>
      <c r="G310">
        <v>32</v>
      </c>
      <c r="H310" t="s">
        <v>22</v>
      </c>
      <c r="I310" t="s">
        <v>18</v>
      </c>
      <c r="J310">
        <v>8</v>
      </c>
      <c r="K310">
        <v>2026</v>
      </c>
      <c r="L310">
        <v>9</v>
      </c>
      <c r="M310">
        <v>18</v>
      </c>
      <c r="N310" t="s">
        <v>37</v>
      </c>
      <c r="O310" t="s">
        <v>13</v>
      </c>
      <c r="P310" t="s">
        <v>36</v>
      </c>
      <c r="Q310" t="s">
        <v>26</v>
      </c>
    </row>
    <row r="311" spans="1:17" x14ac:dyDescent="0.35">
      <c r="A311">
        <v>322</v>
      </c>
      <c r="B311">
        <v>18</v>
      </c>
      <c r="C311">
        <v>20</v>
      </c>
      <c r="D311">
        <v>10</v>
      </c>
      <c r="E311" s="1">
        <v>46290.770833333343</v>
      </c>
      <c r="F311">
        <v>3</v>
      </c>
      <c r="G311">
        <v>24</v>
      </c>
      <c r="H311" t="s">
        <v>22</v>
      </c>
      <c r="I311" t="s">
        <v>31</v>
      </c>
      <c r="J311">
        <v>8</v>
      </c>
      <c r="K311">
        <v>2026</v>
      </c>
      <c r="L311">
        <v>9</v>
      </c>
      <c r="M311">
        <v>18</v>
      </c>
      <c r="N311" t="s">
        <v>43</v>
      </c>
      <c r="O311" t="s">
        <v>13</v>
      </c>
      <c r="P311" t="s">
        <v>36</v>
      </c>
      <c r="Q311" t="s">
        <v>32</v>
      </c>
    </row>
    <row r="312" spans="1:17" x14ac:dyDescent="0.35">
      <c r="A312">
        <v>323</v>
      </c>
      <c r="B312">
        <v>2</v>
      </c>
      <c r="C312">
        <v>10</v>
      </c>
      <c r="D312">
        <v>6</v>
      </c>
      <c r="E312" s="1">
        <v>46075.833333333343</v>
      </c>
      <c r="F312">
        <v>3</v>
      </c>
      <c r="G312">
        <v>27</v>
      </c>
      <c r="H312" t="s">
        <v>22</v>
      </c>
      <c r="I312" t="s">
        <v>18</v>
      </c>
      <c r="J312">
        <v>9</v>
      </c>
      <c r="K312">
        <v>2026</v>
      </c>
      <c r="L312">
        <v>2</v>
      </c>
      <c r="M312">
        <v>20</v>
      </c>
      <c r="N312" t="s">
        <v>28</v>
      </c>
      <c r="O312" t="s">
        <v>24</v>
      </c>
      <c r="P312" t="s">
        <v>25</v>
      </c>
      <c r="Q312" t="s">
        <v>21</v>
      </c>
    </row>
    <row r="313" spans="1:17" x14ac:dyDescent="0.35">
      <c r="A313">
        <v>324</v>
      </c>
      <c r="B313">
        <v>17</v>
      </c>
      <c r="C313">
        <v>13</v>
      </c>
      <c r="D313">
        <v>9</v>
      </c>
      <c r="E313" s="1">
        <v>46170.958333333343</v>
      </c>
      <c r="F313">
        <v>2</v>
      </c>
      <c r="G313">
        <v>18</v>
      </c>
      <c r="H313" t="s">
        <v>22</v>
      </c>
      <c r="I313" t="s">
        <v>31</v>
      </c>
      <c r="J313">
        <v>9</v>
      </c>
      <c r="K313">
        <v>2026</v>
      </c>
      <c r="L313">
        <v>5</v>
      </c>
      <c r="M313">
        <v>23</v>
      </c>
      <c r="N313" t="s">
        <v>41</v>
      </c>
      <c r="O313" t="s">
        <v>13</v>
      </c>
      <c r="P313" t="s">
        <v>49</v>
      </c>
      <c r="Q313" t="s">
        <v>30</v>
      </c>
    </row>
    <row r="314" spans="1:17" x14ac:dyDescent="0.35">
      <c r="A314">
        <v>325</v>
      </c>
      <c r="B314">
        <v>3</v>
      </c>
      <c r="C314">
        <v>14</v>
      </c>
      <c r="D314">
        <v>5</v>
      </c>
      <c r="E314" s="1">
        <v>46289.625</v>
      </c>
      <c r="F314">
        <v>2</v>
      </c>
      <c r="G314">
        <v>16</v>
      </c>
      <c r="H314" t="s">
        <v>22</v>
      </c>
      <c r="I314" t="s">
        <v>18</v>
      </c>
      <c r="J314">
        <v>8</v>
      </c>
      <c r="K314">
        <v>2026</v>
      </c>
      <c r="L314">
        <v>9</v>
      </c>
      <c r="M314">
        <v>15</v>
      </c>
      <c r="N314" t="s">
        <v>41</v>
      </c>
      <c r="O314" t="s">
        <v>13</v>
      </c>
      <c r="P314" t="s">
        <v>29</v>
      </c>
      <c r="Q314" t="s">
        <v>50</v>
      </c>
    </row>
    <row r="315" spans="1:17" x14ac:dyDescent="0.35">
      <c r="A315">
        <v>326</v>
      </c>
      <c r="B315">
        <v>15</v>
      </c>
      <c r="C315">
        <v>8</v>
      </c>
      <c r="D315">
        <v>4</v>
      </c>
      <c r="E315" s="1">
        <v>46053.916666666657</v>
      </c>
      <c r="F315">
        <v>5</v>
      </c>
      <c r="G315">
        <v>50</v>
      </c>
      <c r="H315" t="s">
        <v>22</v>
      </c>
      <c r="I315" t="s">
        <v>27</v>
      </c>
      <c r="J315">
        <v>10</v>
      </c>
      <c r="K315">
        <v>2026</v>
      </c>
      <c r="L315">
        <v>1</v>
      </c>
      <c r="M315">
        <v>22</v>
      </c>
      <c r="N315" t="s">
        <v>23</v>
      </c>
      <c r="O315" t="s">
        <v>24</v>
      </c>
      <c r="P315" t="s">
        <v>42</v>
      </c>
      <c r="Q315" t="s">
        <v>26</v>
      </c>
    </row>
    <row r="316" spans="1:17" x14ac:dyDescent="0.35">
      <c r="A316">
        <v>327</v>
      </c>
      <c r="B316">
        <v>10</v>
      </c>
      <c r="C316">
        <v>12</v>
      </c>
      <c r="D316">
        <v>5</v>
      </c>
      <c r="E316" s="1">
        <v>46106.604166666657</v>
      </c>
      <c r="F316">
        <v>4</v>
      </c>
      <c r="G316">
        <v>32</v>
      </c>
      <c r="H316" t="s">
        <v>22</v>
      </c>
      <c r="I316" t="s">
        <v>31</v>
      </c>
      <c r="J316">
        <v>8</v>
      </c>
      <c r="K316">
        <v>2026</v>
      </c>
      <c r="L316">
        <v>3</v>
      </c>
      <c r="M316">
        <v>14</v>
      </c>
      <c r="N316" t="s">
        <v>19</v>
      </c>
      <c r="O316" t="s">
        <v>13</v>
      </c>
      <c r="P316" t="s">
        <v>57</v>
      </c>
      <c r="Q316" t="s">
        <v>50</v>
      </c>
    </row>
    <row r="317" spans="1:17" x14ac:dyDescent="0.35">
      <c r="A317">
        <v>328</v>
      </c>
      <c r="B317">
        <v>5</v>
      </c>
      <c r="C317">
        <v>5</v>
      </c>
      <c r="D317">
        <v>4</v>
      </c>
      <c r="E317" s="1">
        <v>46130.645833333343</v>
      </c>
      <c r="F317">
        <v>6</v>
      </c>
      <c r="G317">
        <v>54</v>
      </c>
      <c r="H317" t="s">
        <v>22</v>
      </c>
      <c r="I317" t="s">
        <v>18</v>
      </c>
      <c r="J317">
        <v>9</v>
      </c>
      <c r="K317">
        <v>2026</v>
      </c>
      <c r="L317">
        <v>4</v>
      </c>
      <c r="M317">
        <v>15</v>
      </c>
      <c r="N317" t="s">
        <v>23</v>
      </c>
      <c r="O317" t="s">
        <v>24</v>
      </c>
      <c r="P317" t="s">
        <v>53</v>
      </c>
      <c r="Q317" t="s">
        <v>26</v>
      </c>
    </row>
    <row r="318" spans="1:17" x14ac:dyDescent="0.35">
      <c r="A318">
        <v>329</v>
      </c>
      <c r="B318">
        <v>15</v>
      </c>
      <c r="C318">
        <v>2</v>
      </c>
      <c r="D318">
        <v>9</v>
      </c>
      <c r="E318" s="1">
        <v>46326.75</v>
      </c>
      <c r="F318">
        <v>3</v>
      </c>
      <c r="G318">
        <v>27</v>
      </c>
      <c r="H318" t="s">
        <v>22</v>
      </c>
      <c r="I318" t="s">
        <v>18</v>
      </c>
      <c r="J318">
        <v>9</v>
      </c>
      <c r="K318">
        <v>2026</v>
      </c>
      <c r="L318">
        <v>10</v>
      </c>
      <c r="M318">
        <v>18</v>
      </c>
      <c r="N318" t="s">
        <v>23</v>
      </c>
      <c r="O318" t="s">
        <v>24</v>
      </c>
      <c r="P318" t="s">
        <v>44</v>
      </c>
      <c r="Q318" t="s">
        <v>30</v>
      </c>
    </row>
    <row r="319" spans="1:17" x14ac:dyDescent="0.35">
      <c r="A319">
        <v>330</v>
      </c>
      <c r="B319">
        <v>16</v>
      </c>
      <c r="C319">
        <v>9</v>
      </c>
      <c r="D319">
        <v>10</v>
      </c>
      <c r="E319" s="1">
        <v>46339.958333333343</v>
      </c>
      <c r="F319">
        <v>2</v>
      </c>
      <c r="G319">
        <v>18</v>
      </c>
      <c r="H319" t="s">
        <v>22</v>
      </c>
      <c r="I319" t="s">
        <v>18</v>
      </c>
      <c r="J319">
        <v>9</v>
      </c>
      <c r="K319">
        <v>2026</v>
      </c>
      <c r="L319">
        <v>11</v>
      </c>
      <c r="M319">
        <v>23</v>
      </c>
      <c r="N319" t="s">
        <v>43</v>
      </c>
      <c r="O319" t="s">
        <v>13</v>
      </c>
      <c r="P319" t="s">
        <v>48</v>
      </c>
      <c r="Q319" t="s">
        <v>32</v>
      </c>
    </row>
    <row r="320" spans="1:17" x14ac:dyDescent="0.35">
      <c r="A320">
        <v>331</v>
      </c>
      <c r="B320">
        <v>3</v>
      </c>
      <c r="C320">
        <v>12</v>
      </c>
      <c r="D320">
        <v>4</v>
      </c>
      <c r="E320" s="1">
        <v>46364.979166666657</v>
      </c>
      <c r="F320">
        <v>5</v>
      </c>
      <c r="G320">
        <v>45</v>
      </c>
      <c r="H320" t="s">
        <v>22</v>
      </c>
      <c r="I320" t="s">
        <v>18</v>
      </c>
      <c r="J320">
        <v>9</v>
      </c>
      <c r="K320">
        <v>2026</v>
      </c>
      <c r="L320">
        <v>12</v>
      </c>
      <c r="M320">
        <v>23</v>
      </c>
      <c r="N320" t="s">
        <v>37</v>
      </c>
      <c r="O320" t="s">
        <v>13</v>
      </c>
      <c r="P320" t="s">
        <v>57</v>
      </c>
      <c r="Q320" t="s">
        <v>26</v>
      </c>
    </row>
    <row r="321" spans="1:17" x14ac:dyDescent="0.35">
      <c r="A321">
        <v>332</v>
      </c>
      <c r="B321">
        <v>4</v>
      </c>
      <c r="C321">
        <v>9</v>
      </c>
      <c r="D321">
        <v>7</v>
      </c>
      <c r="E321" s="1">
        <v>46369.645833333343</v>
      </c>
      <c r="F321">
        <v>4</v>
      </c>
      <c r="G321">
        <v>36</v>
      </c>
      <c r="H321" t="s">
        <v>22</v>
      </c>
      <c r="I321" t="s">
        <v>18</v>
      </c>
      <c r="J321">
        <v>9</v>
      </c>
      <c r="K321">
        <v>2026</v>
      </c>
      <c r="L321">
        <v>12</v>
      </c>
      <c r="M321">
        <v>15</v>
      </c>
      <c r="N321" t="s">
        <v>28</v>
      </c>
      <c r="O321" t="s">
        <v>24</v>
      </c>
      <c r="P321" t="s">
        <v>48</v>
      </c>
      <c r="Q321" t="s">
        <v>35</v>
      </c>
    </row>
    <row r="322" spans="1:17" x14ac:dyDescent="0.35">
      <c r="A322">
        <v>333</v>
      </c>
      <c r="B322">
        <v>11</v>
      </c>
      <c r="C322">
        <v>16</v>
      </c>
      <c r="D322">
        <v>7</v>
      </c>
      <c r="E322" s="1">
        <v>46222.729166666657</v>
      </c>
      <c r="F322">
        <v>1</v>
      </c>
      <c r="G322">
        <v>9</v>
      </c>
      <c r="H322" t="s">
        <v>22</v>
      </c>
      <c r="I322" t="s">
        <v>18</v>
      </c>
      <c r="J322">
        <v>9</v>
      </c>
      <c r="K322">
        <v>2026</v>
      </c>
      <c r="L322">
        <v>7</v>
      </c>
      <c r="M322">
        <v>17</v>
      </c>
      <c r="N322" t="s">
        <v>28</v>
      </c>
      <c r="O322" t="s">
        <v>24</v>
      </c>
      <c r="P322" t="s">
        <v>51</v>
      </c>
      <c r="Q322" t="s">
        <v>35</v>
      </c>
    </row>
    <row r="323" spans="1:17" x14ac:dyDescent="0.35">
      <c r="A323">
        <v>334</v>
      </c>
      <c r="B323">
        <v>14</v>
      </c>
      <c r="C323">
        <v>7</v>
      </c>
      <c r="D323">
        <v>8</v>
      </c>
      <c r="E323" s="1">
        <v>46202.583333333343</v>
      </c>
      <c r="F323">
        <v>4</v>
      </c>
      <c r="G323">
        <v>32</v>
      </c>
      <c r="H323" t="s">
        <v>22</v>
      </c>
      <c r="I323" t="s">
        <v>18</v>
      </c>
      <c r="J323">
        <v>8</v>
      </c>
      <c r="K323">
        <v>2026</v>
      </c>
      <c r="L323">
        <v>6</v>
      </c>
      <c r="M323">
        <v>14</v>
      </c>
      <c r="N323" t="s">
        <v>33</v>
      </c>
      <c r="O323" t="s">
        <v>13</v>
      </c>
      <c r="P323" t="s">
        <v>34</v>
      </c>
      <c r="Q323" t="s">
        <v>46</v>
      </c>
    </row>
    <row r="324" spans="1:17" x14ac:dyDescent="0.35">
      <c r="A324">
        <v>335</v>
      </c>
      <c r="B324">
        <v>9</v>
      </c>
      <c r="C324">
        <v>3</v>
      </c>
      <c r="D324">
        <v>8</v>
      </c>
      <c r="E324" s="1">
        <v>46145.583333333343</v>
      </c>
      <c r="F324">
        <v>4</v>
      </c>
      <c r="G324">
        <v>36</v>
      </c>
      <c r="H324" t="s">
        <v>22</v>
      </c>
      <c r="I324" t="s">
        <v>31</v>
      </c>
      <c r="J324">
        <v>9</v>
      </c>
      <c r="K324">
        <v>2026</v>
      </c>
      <c r="L324">
        <v>5</v>
      </c>
      <c r="M324">
        <v>14</v>
      </c>
      <c r="N324" t="s">
        <v>28</v>
      </c>
      <c r="O324" t="s">
        <v>24</v>
      </c>
      <c r="P324" t="s">
        <v>20</v>
      </c>
      <c r="Q324" t="s">
        <v>46</v>
      </c>
    </row>
    <row r="325" spans="1:17" x14ac:dyDescent="0.35">
      <c r="A325">
        <v>336</v>
      </c>
      <c r="B325">
        <v>18</v>
      </c>
      <c r="C325">
        <v>15</v>
      </c>
      <c r="D325">
        <v>5</v>
      </c>
      <c r="E325" s="1">
        <v>46188.75</v>
      </c>
      <c r="F325">
        <v>3</v>
      </c>
      <c r="G325">
        <v>24</v>
      </c>
      <c r="H325" t="s">
        <v>22</v>
      </c>
      <c r="I325" t="s">
        <v>31</v>
      </c>
      <c r="J325">
        <v>8</v>
      </c>
      <c r="K325">
        <v>2026</v>
      </c>
      <c r="L325">
        <v>6</v>
      </c>
      <c r="M325">
        <v>18</v>
      </c>
      <c r="N325" t="s">
        <v>33</v>
      </c>
      <c r="O325" t="s">
        <v>13</v>
      </c>
      <c r="P325" t="s">
        <v>38</v>
      </c>
      <c r="Q325" t="s">
        <v>50</v>
      </c>
    </row>
    <row r="326" spans="1:17" x14ac:dyDescent="0.35">
      <c r="A326">
        <v>337</v>
      </c>
      <c r="B326">
        <v>19</v>
      </c>
      <c r="C326">
        <v>8</v>
      </c>
      <c r="D326">
        <v>6</v>
      </c>
      <c r="E326" s="1">
        <v>46073.791666666657</v>
      </c>
      <c r="F326">
        <v>6</v>
      </c>
      <c r="G326">
        <v>48</v>
      </c>
      <c r="H326" t="s">
        <v>22</v>
      </c>
      <c r="I326" t="s">
        <v>18</v>
      </c>
      <c r="J326">
        <v>8</v>
      </c>
      <c r="K326">
        <v>2026</v>
      </c>
      <c r="L326">
        <v>2</v>
      </c>
      <c r="M326">
        <v>19</v>
      </c>
      <c r="N326" t="s">
        <v>43</v>
      </c>
      <c r="O326" t="s">
        <v>13</v>
      </c>
      <c r="P326" t="s">
        <v>42</v>
      </c>
      <c r="Q326" t="s">
        <v>21</v>
      </c>
    </row>
    <row r="327" spans="1:17" x14ac:dyDescent="0.35">
      <c r="A327">
        <v>338</v>
      </c>
      <c r="B327">
        <v>19</v>
      </c>
      <c r="C327">
        <v>12</v>
      </c>
      <c r="D327">
        <v>2</v>
      </c>
      <c r="E327" s="1">
        <v>46366.604166666657</v>
      </c>
      <c r="F327">
        <v>2</v>
      </c>
      <c r="G327">
        <v>16</v>
      </c>
      <c r="H327" t="s">
        <v>22</v>
      </c>
      <c r="I327" t="s">
        <v>31</v>
      </c>
      <c r="J327">
        <v>8</v>
      </c>
      <c r="K327">
        <v>2026</v>
      </c>
      <c r="L327">
        <v>12</v>
      </c>
      <c r="M327">
        <v>14</v>
      </c>
      <c r="N327" t="s">
        <v>41</v>
      </c>
      <c r="O327" t="s">
        <v>13</v>
      </c>
      <c r="P327" t="s">
        <v>57</v>
      </c>
      <c r="Q327" t="s">
        <v>54</v>
      </c>
    </row>
    <row r="328" spans="1:17" x14ac:dyDescent="0.35">
      <c r="A328">
        <v>339</v>
      </c>
      <c r="B328">
        <v>10</v>
      </c>
      <c r="C328">
        <v>5</v>
      </c>
      <c r="D328">
        <v>8</v>
      </c>
      <c r="E328" s="1">
        <v>46252.979166666657</v>
      </c>
      <c r="F328">
        <v>2</v>
      </c>
      <c r="G328">
        <v>18</v>
      </c>
      <c r="H328" t="s">
        <v>17</v>
      </c>
      <c r="I328" t="s">
        <v>27</v>
      </c>
      <c r="J328">
        <v>9</v>
      </c>
      <c r="K328">
        <v>2026</v>
      </c>
      <c r="L328">
        <v>8</v>
      </c>
      <c r="M328">
        <v>23</v>
      </c>
      <c r="N328" t="s">
        <v>37</v>
      </c>
      <c r="O328" t="s">
        <v>13</v>
      </c>
      <c r="P328" t="s">
        <v>53</v>
      </c>
      <c r="Q328" t="s">
        <v>46</v>
      </c>
    </row>
    <row r="329" spans="1:17" x14ac:dyDescent="0.35">
      <c r="A329">
        <v>340</v>
      </c>
      <c r="B329">
        <v>10</v>
      </c>
      <c r="C329">
        <v>7</v>
      </c>
      <c r="D329">
        <v>3</v>
      </c>
      <c r="E329" s="1">
        <v>46308.583333333343</v>
      </c>
      <c r="F329">
        <v>5</v>
      </c>
      <c r="G329">
        <v>40</v>
      </c>
      <c r="H329" t="s">
        <v>22</v>
      </c>
      <c r="I329" t="s">
        <v>31</v>
      </c>
      <c r="J329">
        <v>8</v>
      </c>
      <c r="K329">
        <v>2026</v>
      </c>
      <c r="L329">
        <v>10</v>
      </c>
      <c r="M329">
        <v>14</v>
      </c>
      <c r="N329" t="s">
        <v>37</v>
      </c>
      <c r="O329" t="s">
        <v>13</v>
      </c>
      <c r="P329" t="s">
        <v>34</v>
      </c>
      <c r="Q329" t="s">
        <v>45</v>
      </c>
    </row>
    <row r="330" spans="1:17" x14ac:dyDescent="0.35">
      <c r="A330">
        <v>341</v>
      </c>
      <c r="B330">
        <v>5</v>
      </c>
      <c r="C330">
        <v>19</v>
      </c>
      <c r="D330">
        <v>4</v>
      </c>
      <c r="E330" s="1">
        <v>46377.8125</v>
      </c>
      <c r="F330">
        <v>1</v>
      </c>
      <c r="G330">
        <v>8</v>
      </c>
      <c r="H330" t="s">
        <v>22</v>
      </c>
      <c r="I330" t="s">
        <v>18</v>
      </c>
      <c r="J330">
        <v>8</v>
      </c>
      <c r="K330">
        <v>2026</v>
      </c>
      <c r="L330">
        <v>12</v>
      </c>
      <c r="M330">
        <v>19</v>
      </c>
      <c r="N330" t="s">
        <v>33</v>
      </c>
      <c r="O330" t="s">
        <v>13</v>
      </c>
      <c r="P330" t="s">
        <v>58</v>
      </c>
      <c r="Q330" t="s">
        <v>26</v>
      </c>
    </row>
    <row r="331" spans="1:17" x14ac:dyDescent="0.35">
      <c r="A331">
        <v>342</v>
      </c>
      <c r="B331">
        <v>15</v>
      </c>
      <c r="C331">
        <v>12</v>
      </c>
      <c r="D331">
        <v>8</v>
      </c>
      <c r="E331" s="1">
        <v>46230.645833333343</v>
      </c>
      <c r="F331">
        <v>6</v>
      </c>
      <c r="G331">
        <v>48</v>
      </c>
      <c r="H331" t="s">
        <v>22</v>
      </c>
      <c r="I331" t="s">
        <v>18</v>
      </c>
      <c r="J331">
        <v>8</v>
      </c>
      <c r="K331">
        <v>2026</v>
      </c>
      <c r="L331">
        <v>7</v>
      </c>
      <c r="M331">
        <v>15</v>
      </c>
      <c r="N331" t="s">
        <v>33</v>
      </c>
      <c r="O331" t="s">
        <v>13</v>
      </c>
      <c r="P331" t="s">
        <v>57</v>
      </c>
      <c r="Q331" t="s">
        <v>46</v>
      </c>
    </row>
    <row r="332" spans="1:17" x14ac:dyDescent="0.35">
      <c r="A332">
        <v>343</v>
      </c>
      <c r="B332">
        <v>18</v>
      </c>
      <c r="C332">
        <v>5</v>
      </c>
      <c r="D332">
        <v>5</v>
      </c>
      <c r="E332" s="1">
        <v>46138.875</v>
      </c>
      <c r="F332">
        <v>4</v>
      </c>
      <c r="G332">
        <v>40</v>
      </c>
      <c r="H332" t="s">
        <v>22</v>
      </c>
      <c r="I332" t="s">
        <v>27</v>
      </c>
      <c r="J332">
        <v>10</v>
      </c>
      <c r="K332">
        <v>2026</v>
      </c>
      <c r="L332">
        <v>4</v>
      </c>
      <c r="M332">
        <v>21</v>
      </c>
      <c r="N332" t="s">
        <v>28</v>
      </c>
      <c r="O332" t="s">
        <v>24</v>
      </c>
      <c r="P332" t="s">
        <v>53</v>
      </c>
      <c r="Q332" t="s">
        <v>50</v>
      </c>
    </row>
    <row r="333" spans="1:17" x14ac:dyDescent="0.35">
      <c r="A333">
        <v>344</v>
      </c>
      <c r="B333">
        <v>3</v>
      </c>
      <c r="C333">
        <v>11</v>
      </c>
      <c r="D333">
        <v>6</v>
      </c>
      <c r="E333" s="1">
        <v>46102.9375</v>
      </c>
      <c r="F333">
        <v>3</v>
      </c>
      <c r="G333">
        <v>30</v>
      </c>
      <c r="H333" t="s">
        <v>22</v>
      </c>
      <c r="I333" t="s">
        <v>27</v>
      </c>
      <c r="J333">
        <v>10</v>
      </c>
      <c r="K333">
        <v>2026</v>
      </c>
      <c r="L333">
        <v>3</v>
      </c>
      <c r="M333">
        <v>22</v>
      </c>
      <c r="N333" t="s">
        <v>23</v>
      </c>
      <c r="O333" t="s">
        <v>24</v>
      </c>
      <c r="P333" t="s">
        <v>59</v>
      </c>
      <c r="Q333" t="s">
        <v>21</v>
      </c>
    </row>
    <row r="334" spans="1:17" x14ac:dyDescent="0.35">
      <c r="A334">
        <v>345</v>
      </c>
      <c r="B334">
        <v>16</v>
      </c>
      <c r="C334">
        <v>2</v>
      </c>
      <c r="D334">
        <v>8</v>
      </c>
      <c r="E334" s="1">
        <v>46373.604166666657</v>
      </c>
      <c r="F334">
        <v>4</v>
      </c>
      <c r="G334">
        <v>32</v>
      </c>
      <c r="H334" t="s">
        <v>22</v>
      </c>
      <c r="I334" t="s">
        <v>31</v>
      </c>
      <c r="J334">
        <v>8</v>
      </c>
      <c r="K334">
        <v>2026</v>
      </c>
      <c r="L334">
        <v>12</v>
      </c>
      <c r="M334">
        <v>14</v>
      </c>
      <c r="N334" t="s">
        <v>41</v>
      </c>
      <c r="O334" t="s">
        <v>13</v>
      </c>
      <c r="P334" t="s">
        <v>44</v>
      </c>
      <c r="Q334" t="s">
        <v>46</v>
      </c>
    </row>
    <row r="335" spans="1:17" x14ac:dyDescent="0.35">
      <c r="A335">
        <v>346</v>
      </c>
      <c r="B335">
        <v>7</v>
      </c>
      <c r="C335">
        <v>14</v>
      </c>
      <c r="D335">
        <v>6</v>
      </c>
      <c r="E335" s="1">
        <v>46096.916666666657</v>
      </c>
      <c r="F335">
        <v>2</v>
      </c>
      <c r="G335">
        <v>20</v>
      </c>
      <c r="H335" t="s">
        <v>22</v>
      </c>
      <c r="I335" t="s">
        <v>18</v>
      </c>
      <c r="J335">
        <v>10</v>
      </c>
      <c r="K335">
        <v>2026</v>
      </c>
      <c r="L335">
        <v>3</v>
      </c>
      <c r="M335">
        <v>22</v>
      </c>
      <c r="N335" t="s">
        <v>28</v>
      </c>
      <c r="O335" t="s">
        <v>24</v>
      </c>
      <c r="P335" t="s">
        <v>29</v>
      </c>
      <c r="Q335" t="s">
        <v>21</v>
      </c>
    </row>
    <row r="336" spans="1:17" x14ac:dyDescent="0.35">
      <c r="A336">
        <v>347</v>
      </c>
      <c r="B336">
        <v>10</v>
      </c>
      <c r="C336">
        <v>8</v>
      </c>
      <c r="D336">
        <v>1</v>
      </c>
      <c r="E336" s="1">
        <v>46137.75</v>
      </c>
      <c r="F336">
        <v>2</v>
      </c>
      <c r="G336">
        <v>18</v>
      </c>
      <c r="H336" t="s">
        <v>22</v>
      </c>
      <c r="I336" t="s">
        <v>31</v>
      </c>
      <c r="J336">
        <v>9</v>
      </c>
      <c r="K336">
        <v>2026</v>
      </c>
      <c r="L336">
        <v>4</v>
      </c>
      <c r="M336">
        <v>18</v>
      </c>
      <c r="N336" t="s">
        <v>23</v>
      </c>
      <c r="O336" t="s">
        <v>24</v>
      </c>
      <c r="P336" t="s">
        <v>42</v>
      </c>
      <c r="Q336" t="s">
        <v>40</v>
      </c>
    </row>
    <row r="337" spans="1:17" x14ac:dyDescent="0.35">
      <c r="A337">
        <v>348</v>
      </c>
      <c r="B337">
        <v>16</v>
      </c>
      <c r="C337">
        <v>9</v>
      </c>
      <c r="D337">
        <v>2</v>
      </c>
      <c r="E337" s="1">
        <v>46066.8125</v>
      </c>
      <c r="F337">
        <v>3</v>
      </c>
      <c r="G337">
        <v>24</v>
      </c>
      <c r="H337" t="s">
        <v>22</v>
      </c>
      <c r="I337" t="s">
        <v>27</v>
      </c>
      <c r="J337">
        <v>8</v>
      </c>
      <c r="K337">
        <v>2026</v>
      </c>
      <c r="L337">
        <v>2</v>
      </c>
      <c r="M337">
        <v>19</v>
      </c>
      <c r="N337" t="s">
        <v>43</v>
      </c>
      <c r="O337" t="s">
        <v>13</v>
      </c>
      <c r="P337" t="s">
        <v>48</v>
      </c>
      <c r="Q337" t="s">
        <v>54</v>
      </c>
    </row>
    <row r="338" spans="1:17" x14ac:dyDescent="0.35">
      <c r="A338">
        <v>349</v>
      </c>
      <c r="B338">
        <v>20</v>
      </c>
      <c r="C338">
        <v>3</v>
      </c>
      <c r="D338">
        <v>8</v>
      </c>
      <c r="E338" s="1">
        <v>46348.979166666657</v>
      </c>
      <c r="F338">
        <v>6</v>
      </c>
      <c r="G338">
        <v>60</v>
      </c>
      <c r="H338" t="s">
        <v>22</v>
      </c>
      <c r="I338" t="s">
        <v>31</v>
      </c>
      <c r="J338">
        <v>10</v>
      </c>
      <c r="K338">
        <v>2026</v>
      </c>
      <c r="L338">
        <v>11</v>
      </c>
      <c r="M338">
        <v>23</v>
      </c>
      <c r="N338" t="s">
        <v>28</v>
      </c>
      <c r="O338" t="s">
        <v>24</v>
      </c>
      <c r="P338" t="s">
        <v>20</v>
      </c>
      <c r="Q338" t="s">
        <v>46</v>
      </c>
    </row>
    <row r="339" spans="1:17" x14ac:dyDescent="0.35">
      <c r="A339">
        <v>350</v>
      </c>
      <c r="B339">
        <v>3</v>
      </c>
      <c r="C339">
        <v>12</v>
      </c>
      <c r="D339">
        <v>6</v>
      </c>
      <c r="E339" s="1">
        <v>46354.75</v>
      </c>
      <c r="F339">
        <v>6</v>
      </c>
      <c r="G339">
        <v>54</v>
      </c>
      <c r="H339" t="s">
        <v>22</v>
      </c>
      <c r="I339" t="s">
        <v>31</v>
      </c>
      <c r="J339">
        <v>9</v>
      </c>
      <c r="K339">
        <v>2026</v>
      </c>
      <c r="L339">
        <v>11</v>
      </c>
      <c r="M339">
        <v>18</v>
      </c>
      <c r="N339" t="s">
        <v>23</v>
      </c>
      <c r="O339" t="s">
        <v>24</v>
      </c>
      <c r="P339" t="s">
        <v>57</v>
      </c>
      <c r="Q339" t="s">
        <v>21</v>
      </c>
    </row>
    <row r="340" spans="1:17" x14ac:dyDescent="0.35">
      <c r="A340">
        <v>351</v>
      </c>
      <c r="B340">
        <v>13</v>
      </c>
      <c r="C340">
        <v>17</v>
      </c>
      <c r="D340">
        <v>2</v>
      </c>
      <c r="E340" s="1">
        <v>46306.604166666657</v>
      </c>
      <c r="F340">
        <v>6</v>
      </c>
      <c r="G340">
        <v>54</v>
      </c>
      <c r="H340" t="s">
        <v>22</v>
      </c>
      <c r="I340" t="s">
        <v>27</v>
      </c>
      <c r="J340">
        <v>9</v>
      </c>
      <c r="K340">
        <v>2026</v>
      </c>
      <c r="L340">
        <v>10</v>
      </c>
      <c r="M340">
        <v>14</v>
      </c>
      <c r="N340" t="s">
        <v>28</v>
      </c>
      <c r="O340" t="s">
        <v>24</v>
      </c>
      <c r="P340" t="s">
        <v>56</v>
      </c>
      <c r="Q340" t="s">
        <v>54</v>
      </c>
    </row>
    <row r="341" spans="1:17" x14ac:dyDescent="0.35">
      <c r="A341">
        <v>352</v>
      </c>
      <c r="B341">
        <v>7</v>
      </c>
      <c r="C341">
        <v>9</v>
      </c>
      <c r="D341">
        <v>8</v>
      </c>
      <c r="E341" s="1">
        <v>46189.75</v>
      </c>
      <c r="F341">
        <v>3</v>
      </c>
      <c r="G341">
        <v>24</v>
      </c>
      <c r="H341" t="s">
        <v>17</v>
      </c>
      <c r="I341" t="s">
        <v>27</v>
      </c>
      <c r="J341">
        <v>8</v>
      </c>
      <c r="K341">
        <v>2026</v>
      </c>
      <c r="L341">
        <v>6</v>
      </c>
      <c r="M341">
        <v>18</v>
      </c>
      <c r="N341" t="s">
        <v>37</v>
      </c>
      <c r="O341" t="s">
        <v>13</v>
      </c>
      <c r="P341" t="s">
        <v>48</v>
      </c>
      <c r="Q341" t="s">
        <v>46</v>
      </c>
    </row>
    <row r="342" spans="1:17" x14ac:dyDescent="0.35">
      <c r="A342">
        <v>353</v>
      </c>
      <c r="B342">
        <v>14</v>
      </c>
      <c r="C342">
        <v>2</v>
      </c>
      <c r="D342">
        <v>5</v>
      </c>
      <c r="E342" s="1">
        <v>46216.729166666657</v>
      </c>
      <c r="F342">
        <v>3</v>
      </c>
      <c r="G342">
        <v>24</v>
      </c>
      <c r="H342" t="s">
        <v>22</v>
      </c>
      <c r="I342" t="s">
        <v>18</v>
      </c>
      <c r="J342">
        <v>8</v>
      </c>
      <c r="K342">
        <v>2026</v>
      </c>
      <c r="L342">
        <v>7</v>
      </c>
      <c r="M342">
        <v>17</v>
      </c>
      <c r="N342" t="s">
        <v>33</v>
      </c>
      <c r="O342" t="s">
        <v>13</v>
      </c>
      <c r="P342" t="s">
        <v>44</v>
      </c>
      <c r="Q342" t="s">
        <v>50</v>
      </c>
    </row>
    <row r="343" spans="1:17" x14ac:dyDescent="0.35">
      <c r="A343">
        <v>354</v>
      </c>
      <c r="B343">
        <v>1</v>
      </c>
      <c r="C343">
        <v>12</v>
      </c>
      <c r="D343">
        <v>4</v>
      </c>
      <c r="E343" s="1">
        <v>46061.9375</v>
      </c>
      <c r="F343">
        <v>6</v>
      </c>
      <c r="G343">
        <v>60</v>
      </c>
      <c r="H343" t="s">
        <v>22</v>
      </c>
      <c r="I343" t="s">
        <v>27</v>
      </c>
      <c r="J343">
        <v>10</v>
      </c>
      <c r="K343">
        <v>2026</v>
      </c>
      <c r="L343">
        <v>2</v>
      </c>
      <c r="M343">
        <v>22</v>
      </c>
      <c r="N343" t="s">
        <v>28</v>
      </c>
      <c r="O343" t="s">
        <v>24</v>
      </c>
      <c r="P343" t="s">
        <v>57</v>
      </c>
      <c r="Q343" t="s">
        <v>26</v>
      </c>
    </row>
    <row r="344" spans="1:17" x14ac:dyDescent="0.35">
      <c r="A344">
        <v>355</v>
      </c>
      <c r="B344">
        <v>6</v>
      </c>
      <c r="C344">
        <v>6</v>
      </c>
      <c r="D344">
        <v>9</v>
      </c>
      <c r="E344" s="1">
        <v>46062.625</v>
      </c>
      <c r="F344">
        <v>4</v>
      </c>
      <c r="G344">
        <v>32</v>
      </c>
      <c r="H344" t="s">
        <v>22</v>
      </c>
      <c r="I344" t="s">
        <v>18</v>
      </c>
      <c r="J344">
        <v>8</v>
      </c>
      <c r="K344">
        <v>2026</v>
      </c>
      <c r="L344">
        <v>2</v>
      </c>
      <c r="M344">
        <v>15</v>
      </c>
      <c r="N344" t="s">
        <v>33</v>
      </c>
      <c r="O344" t="s">
        <v>13</v>
      </c>
      <c r="P344" t="s">
        <v>52</v>
      </c>
      <c r="Q344" t="s">
        <v>30</v>
      </c>
    </row>
    <row r="345" spans="1:17" x14ac:dyDescent="0.35">
      <c r="A345">
        <v>356</v>
      </c>
      <c r="B345">
        <v>12</v>
      </c>
      <c r="C345">
        <v>6</v>
      </c>
      <c r="D345">
        <v>4</v>
      </c>
      <c r="E345" s="1">
        <v>46032.9375</v>
      </c>
      <c r="F345">
        <v>6</v>
      </c>
      <c r="G345">
        <v>60</v>
      </c>
      <c r="H345" t="s">
        <v>17</v>
      </c>
      <c r="I345" t="s">
        <v>31</v>
      </c>
      <c r="J345">
        <v>10</v>
      </c>
      <c r="K345">
        <v>2026</v>
      </c>
      <c r="L345">
        <v>1</v>
      </c>
      <c r="M345">
        <v>22</v>
      </c>
      <c r="N345" t="s">
        <v>23</v>
      </c>
      <c r="O345" t="s">
        <v>24</v>
      </c>
      <c r="P345" t="s">
        <v>52</v>
      </c>
      <c r="Q345" t="s">
        <v>26</v>
      </c>
    </row>
    <row r="346" spans="1:17" x14ac:dyDescent="0.35">
      <c r="A346">
        <v>357</v>
      </c>
      <c r="B346">
        <v>3</v>
      </c>
      <c r="C346">
        <v>3</v>
      </c>
      <c r="D346">
        <v>7</v>
      </c>
      <c r="E346" s="1">
        <v>46074.666666666657</v>
      </c>
      <c r="F346">
        <v>2</v>
      </c>
      <c r="G346">
        <v>18</v>
      </c>
      <c r="H346" t="s">
        <v>22</v>
      </c>
      <c r="I346" t="s">
        <v>31</v>
      </c>
      <c r="J346">
        <v>9</v>
      </c>
      <c r="K346">
        <v>2026</v>
      </c>
      <c r="L346">
        <v>2</v>
      </c>
      <c r="M346">
        <v>16</v>
      </c>
      <c r="N346" t="s">
        <v>23</v>
      </c>
      <c r="O346" t="s">
        <v>24</v>
      </c>
      <c r="P346" t="s">
        <v>20</v>
      </c>
      <c r="Q346" t="s">
        <v>35</v>
      </c>
    </row>
    <row r="347" spans="1:17" x14ac:dyDescent="0.35">
      <c r="A347">
        <v>358</v>
      </c>
      <c r="B347">
        <v>18</v>
      </c>
      <c r="C347">
        <v>4</v>
      </c>
      <c r="D347">
        <v>9</v>
      </c>
      <c r="E347" s="1">
        <v>46197.604166666657</v>
      </c>
      <c r="F347">
        <v>5</v>
      </c>
      <c r="G347">
        <v>40</v>
      </c>
      <c r="H347" t="s">
        <v>22</v>
      </c>
      <c r="I347" t="s">
        <v>18</v>
      </c>
      <c r="J347">
        <v>8</v>
      </c>
      <c r="K347">
        <v>2026</v>
      </c>
      <c r="L347">
        <v>6</v>
      </c>
      <c r="M347">
        <v>14</v>
      </c>
      <c r="N347" t="s">
        <v>19</v>
      </c>
      <c r="O347" t="s">
        <v>13</v>
      </c>
      <c r="P347" t="s">
        <v>55</v>
      </c>
      <c r="Q347" t="s">
        <v>30</v>
      </c>
    </row>
    <row r="348" spans="1:17" x14ac:dyDescent="0.35">
      <c r="A348">
        <v>359</v>
      </c>
      <c r="B348">
        <v>13</v>
      </c>
      <c r="C348">
        <v>6</v>
      </c>
      <c r="D348">
        <v>6</v>
      </c>
      <c r="E348" s="1">
        <v>46205.916666666657</v>
      </c>
      <c r="F348">
        <v>3</v>
      </c>
      <c r="G348">
        <v>27</v>
      </c>
      <c r="H348" t="s">
        <v>22</v>
      </c>
      <c r="I348" t="s">
        <v>18</v>
      </c>
      <c r="J348">
        <v>9</v>
      </c>
      <c r="K348">
        <v>2026</v>
      </c>
      <c r="L348">
        <v>7</v>
      </c>
      <c r="M348">
        <v>22</v>
      </c>
      <c r="N348" t="s">
        <v>41</v>
      </c>
      <c r="O348" t="s">
        <v>13</v>
      </c>
      <c r="P348" t="s">
        <v>52</v>
      </c>
      <c r="Q348" t="s">
        <v>21</v>
      </c>
    </row>
    <row r="349" spans="1:17" x14ac:dyDescent="0.35">
      <c r="A349">
        <v>360</v>
      </c>
      <c r="B349">
        <v>19</v>
      </c>
      <c r="C349">
        <v>3</v>
      </c>
      <c r="D349">
        <v>4</v>
      </c>
      <c r="E349" s="1">
        <v>46128.770833333343</v>
      </c>
      <c r="F349">
        <v>2</v>
      </c>
      <c r="G349">
        <v>16</v>
      </c>
      <c r="H349" t="s">
        <v>22</v>
      </c>
      <c r="I349" t="s">
        <v>27</v>
      </c>
      <c r="J349">
        <v>8</v>
      </c>
      <c r="K349">
        <v>2026</v>
      </c>
      <c r="L349">
        <v>4</v>
      </c>
      <c r="M349">
        <v>18</v>
      </c>
      <c r="N349" t="s">
        <v>41</v>
      </c>
      <c r="O349" t="s">
        <v>13</v>
      </c>
      <c r="P349" t="s">
        <v>20</v>
      </c>
      <c r="Q349" t="s">
        <v>26</v>
      </c>
    </row>
    <row r="350" spans="1:17" x14ac:dyDescent="0.35">
      <c r="A350">
        <v>361</v>
      </c>
      <c r="B350">
        <v>1</v>
      </c>
      <c r="C350">
        <v>3</v>
      </c>
      <c r="D350">
        <v>5</v>
      </c>
      <c r="E350" s="1">
        <v>46353.604166666657</v>
      </c>
      <c r="F350">
        <v>4</v>
      </c>
      <c r="G350">
        <v>32</v>
      </c>
      <c r="H350" t="s">
        <v>22</v>
      </c>
      <c r="I350" t="s">
        <v>18</v>
      </c>
      <c r="J350">
        <v>8</v>
      </c>
      <c r="K350">
        <v>2026</v>
      </c>
      <c r="L350">
        <v>11</v>
      </c>
      <c r="M350">
        <v>14</v>
      </c>
      <c r="N350" t="s">
        <v>43</v>
      </c>
      <c r="O350" t="s">
        <v>13</v>
      </c>
      <c r="P350" t="s">
        <v>20</v>
      </c>
      <c r="Q350" t="s">
        <v>50</v>
      </c>
    </row>
    <row r="351" spans="1:17" x14ac:dyDescent="0.35">
      <c r="A351">
        <v>362</v>
      </c>
      <c r="B351">
        <v>12</v>
      </c>
      <c r="C351">
        <v>8</v>
      </c>
      <c r="D351">
        <v>1</v>
      </c>
      <c r="E351" s="1">
        <v>46195.75</v>
      </c>
      <c r="F351">
        <v>2</v>
      </c>
      <c r="G351">
        <v>16</v>
      </c>
      <c r="H351" t="s">
        <v>22</v>
      </c>
      <c r="I351" t="s">
        <v>18</v>
      </c>
      <c r="J351">
        <v>8</v>
      </c>
      <c r="K351">
        <v>2026</v>
      </c>
      <c r="L351">
        <v>6</v>
      </c>
      <c r="M351">
        <v>18</v>
      </c>
      <c r="N351" t="s">
        <v>33</v>
      </c>
      <c r="O351" t="s">
        <v>13</v>
      </c>
      <c r="P351" t="s">
        <v>42</v>
      </c>
      <c r="Q351" t="s">
        <v>40</v>
      </c>
    </row>
    <row r="352" spans="1:17" x14ac:dyDescent="0.35">
      <c r="A352">
        <v>363</v>
      </c>
      <c r="B352">
        <v>1</v>
      </c>
      <c r="C352">
        <v>10</v>
      </c>
      <c r="D352">
        <v>7</v>
      </c>
      <c r="E352" s="1">
        <v>46262.583333333343</v>
      </c>
      <c r="F352">
        <v>2</v>
      </c>
      <c r="G352">
        <v>16</v>
      </c>
      <c r="H352" t="s">
        <v>22</v>
      </c>
      <c r="I352" t="s">
        <v>27</v>
      </c>
      <c r="J352">
        <v>8</v>
      </c>
      <c r="K352">
        <v>2026</v>
      </c>
      <c r="L352">
        <v>8</v>
      </c>
      <c r="M352">
        <v>14</v>
      </c>
      <c r="N352" t="s">
        <v>43</v>
      </c>
      <c r="O352" t="s">
        <v>13</v>
      </c>
      <c r="P352" t="s">
        <v>25</v>
      </c>
      <c r="Q352" t="s">
        <v>35</v>
      </c>
    </row>
    <row r="353" spans="1:17" x14ac:dyDescent="0.35">
      <c r="A353">
        <v>364</v>
      </c>
      <c r="B353">
        <v>20</v>
      </c>
      <c r="C353">
        <v>3</v>
      </c>
      <c r="D353">
        <v>2</v>
      </c>
      <c r="E353" s="1">
        <v>46199.708333333343</v>
      </c>
      <c r="F353">
        <v>4</v>
      </c>
      <c r="G353">
        <v>32</v>
      </c>
      <c r="H353" t="s">
        <v>22</v>
      </c>
      <c r="I353" t="s">
        <v>18</v>
      </c>
      <c r="J353">
        <v>8</v>
      </c>
      <c r="K353">
        <v>2026</v>
      </c>
      <c r="L353">
        <v>6</v>
      </c>
      <c r="M353">
        <v>17</v>
      </c>
      <c r="N353" t="s">
        <v>43</v>
      </c>
      <c r="O353" t="s">
        <v>13</v>
      </c>
      <c r="P353" t="s">
        <v>20</v>
      </c>
      <c r="Q353" t="s">
        <v>54</v>
      </c>
    </row>
    <row r="354" spans="1:17" x14ac:dyDescent="0.35">
      <c r="A354">
        <v>365</v>
      </c>
      <c r="B354">
        <v>19</v>
      </c>
      <c r="C354">
        <v>1</v>
      </c>
      <c r="D354">
        <v>5</v>
      </c>
      <c r="E354" s="1">
        <v>46025.604166666657</v>
      </c>
      <c r="F354">
        <v>6</v>
      </c>
      <c r="G354">
        <v>54</v>
      </c>
      <c r="H354" t="s">
        <v>22</v>
      </c>
      <c r="I354" t="s">
        <v>31</v>
      </c>
      <c r="J354">
        <v>9</v>
      </c>
      <c r="K354">
        <v>2026</v>
      </c>
      <c r="L354">
        <v>1</v>
      </c>
      <c r="M354">
        <v>14</v>
      </c>
      <c r="N354" t="s">
        <v>23</v>
      </c>
      <c r="O354" t="s">
        <v>24</v>
      </c>
      <c r="P354" t="s">
        <v>39</v>
      </c>
      <c r="Q354" t="s">
        <v>50</v>
      </c>
    </row>
    <row r="355" spans="1:17" x14ac:dyDescent="0.35">
      <c r="A355">
        <v>366</v>
      </c>
      <c r="B355">
        <v>11</v>
      </c>
      <c r="C355">
        <v>7</v>
      </c>
      <c r="D355">
        <v>3</v>
      </c>
      <c r="E355" s="1">
        <v>46120.833333333343</v>
      </c>
      <c r="F355">
        <v>5</v>
      </c>
      <c r="G355">
        <v>40</v>
      </c>
      <c r="H355" t="s">
        <v>22</v>
      </c>
      <c r="I355" t="s">
        <v>31</v>
      </c>
      <c r="J355">
        <v>8</v>
      </c>
      <c r="K355">
        <v>2026</v>
      </c>
      <c r="L355">
        <v>4</v>
      </c>
      <c r="M355">
        <v>20</v>
      </c>
      <c r="N355" t="s">
        <v>19</v>
      </c>
      <c r="O355" t="s">
        <v>13</v>
      </c>
      <c r="P355" t="s">
        <v>34</v>
      </c>
      <c r="Q355" t="s">
        <v>45</v>
      </c>
    </row>
    <row r="356" spans="1:17" x14ac:dyDescent="0.35">
      <c r="A356">
        <v>367</v>
      </c>
      <c r="B356">
        <v>10</v>
      </c>
      <c r="C356">
        <v>7</v>
      </c>
      <c r="D356">
        <v>9</v>
      </c>
      <c r="E356" s="1">
        <v>46057.729166666657</v>
      </c>
      <c r="F356">
        <v>4</v>
      </c>
      <c r="G356">
        <v>32</v>
      </c>
      <c r="H356" t="s">
        <v>22</v>
      </c>
      <c r="I356" t="s">
        <v>31</v>
      </c>
      <c r="J356">
        <v>8</v>
      </c>
      <c r="K356">
        <v>2026</v>
      </c>
      <c r="L356">
        <v>2</v>
      </c>
      <c r="M356">
        <v>17</v>
      </c>
      <c r="N356" t="s">
        <v>19</v>
      </c>
      <c r="O356" t="s">
        <v>13</v>
      </c>
      <c r="P356" t="s">
        <v>34</v>
      </c>
      <c r="Q356" t="s">
        <v>30</v>
      </c>
    </row>
    <row r="357" spans="1:17" x14ac:dyDescent="0.35">
      <c r="A357">
        <v>368</v>
      </c>
      <c r="B357">
        <v>19</v>
      </c>
      <c r="C357">
        <v>11</v>
      </c>
      <c r="D357">
        <v>3</v>
      </c>
      <c r="E357" s="1">
        <v>46028.666666666657</v>
      </c>
      <c r="F357">
        <v>1</v>
      </c>
      <c r="G357">
        <v>8</v>
      </c>
      <c r="H357" t="s">
        <v>22</v>
      </c>
      <c r="I357" t="s">
        <v>27</v>
      </c>
      <c r="J357">
        <v>8</v>
      </c>
      <c r="K357">
        <v>2026</v>
      </c>
      <c r="L357">
        <v>1</v>
      </c>
      <c r="M357">
        <v>16</v>
      </c>
      <c r="N357" t="s">
        <v>37</v>
      </c>
      <c r="O357" t="s">
        <v>13</v>
      </c>
      <c r="P357" t="s">
        <v>59</v>
      </c>
      <c r="Q357" t="s">
        <v>45</v>
      </c>
    </row>
    <row r="358" spans="1:17" x14ac:dyDescent="0.35">
      <c r="A358">
        <v>369</v>
      </c>
      <c r="B358">
        <v>14</v>
      </c>
      <c r="C358">
        <v>9</v>
      </c>
      <c r="D358">
        <v>9</v>
      </c>
      <c r="E358" s="1">
        <v>46300.708333333343</v>
      </c>
      <c r="F358">
        <v>1</v>
      </c>
      <c r="G358">
        <v>8</v>
      </c>
      <c r="H358" t="s">
        <v>22</v>
      </c>
      <c r="I358" t="s">
        <v>27</v>
      </c>
      <c r="J358">
        <v>8</v>
      </c>
      <c r="K358">
        <v>2026</v>
      </c>
      <c r="L358">
        <v>10</v>
      </c>
      <c r="M358">
        <v>17</v>
      </c>
      <c r="N358" t="s">
        <v>33</v>
      </c>
      <c r="O358" t="s">
        <v>13</v>
      </c>
      <c r="P358" t="s">
        <v>48</v>
      </c>
      <c r="Q358" t="s">
        <v>30</v>
      </c>
    </row>
    <row r="359" spans="1:17" x14ac:dyDescent="0.35">
      <c r="A359">
        <v>370</v>
      </c>
      <c r="B359">
        <v>20</v>
      </c>
      <c r="C359">
        <v>17</v>
      </c>
      <c r="D359">
        <v>7</v>
      </c>
      <c r="E359" s="1">
        <v>46128.625</v>
      </c>
      <c r="F359">
        <v>3</v>
      </c>
      <c r="G359">
        <v>24</v>
      </c>
      <c r="H359" t="s">
        <v>22</v>
      </c>
      <c r="I359" t="s">
        <v>18</v>
      </c>
      <c r="J359">
        <v>8</v>
      </c>
      <c r="K359">
        <v>2026</v>
      </c>
      <c r="L359">
        <v>4</v>
      </c>
      <c r="M359">
        <v>15</v>
      </c>
      <c r="N359" t="s">
        <v>41</v>
      </c>
      <c r="O359" t="s">
        <v>13</v>
      </c>
      <c r="P359" t="s">
        <v>56</v>
      </c>
      <c r="Q359" t="s">
        <v>35</v>
      </c>
    </row>
    <row r="360" spans="1:17" x14ac:dyDescent="0.35">
      <c r="A360">
        <v>371</v>
      </c>
      <c r="B360">
        <v>20</v>
      </c>
      <c r="C360">
        <v>1</v>
      </c>
      <c r="D360">
        <v>2</v>
      </c>
      <c r="E360" s="1">
        <v>46107.770833333343</v>
      </c>
      <c r="F360">
        <v>5</v>
      </c>
      <c r="G360">
        <v>40</v>
      </c>
      <c r="H360" t="s">
        <v>22</v>
      </c>
      <c r="I360" t="s">
        <v>31</v>
      </c>
      <c r="J360">
        <v>8</v>
      </c>
      <c r="K360">
        <v>2026</v>
      </c>
      <c r="L360">
        <v>3</v>
      </c>
      <c r="M360">
        <v>18</v>
      </c>
      <c r="N360" t="s">
        <v>41</v>
      </c>
      <c r="O360" t="s">
        <v>13</v>
      </c>
      <c r="P360" t="s">
        <v>39</v>
      </c>
      <c r="Q360" t="s">
        <v>54</v>
      </c>
    </row>
    <row r="361" spans="1:17" x14ac:dyDescent="0.35">
      <c r="A361">
        <v>372</v>
      </c>
      <c r="B361">
        <v>3</v>
      </c>
      <c r="C361">
        <v>18</v>
      </c>
      <c r="D361">
        <v>9</v>
      </c>
      <c r="E361" s="1">
        <v>46147.729166666657</v>
      </c>
      <c r="F361">
        <v>6</v>
      </c>
      <c r="G361">
        <v>48</v>
      </c>
      <c r="H361" t="s">
        <v>22</v>
      </c>
      <c r="I361" t="s">
        <v>27</v>
      </c>
      <c r="J361">
        <v>8</v>
      </c>
      <c r="K361">
        <v>2026</v>
      </c>
      <c r="L361">
        <v>5</v>
      </c>
      <c r="M361">
        <v>17</v>
      </c>
      <c r="N361" t="s">
        <v>37</v>
      </c>
      <c r="O361" t="s">
        <v>13</v>
      </c>
      <c r="P361" t="s">
        <v>47</v>
      </c>
      <c r="Q361" t="s">
        <v>30</v>
      </c>
    </row>
    <row r="362" spans="1:17" x14ac:dyDescent="0.35">
      <c r="A362">
        <v>373</v>
      </c>
      <c r="B362">
        <v>11</v>
      </c>
      <c r="C362">
        <v>13</v>
      </c>
      <c r="D362">
        <v>10</v>
      </c>
      <c r="E362" s="1">
        <v>46131.791666666657</v>
      </c>
      <c r="F362">
        <v>5</v>
      </c>
      <c r="G362">
        <v>45</v>
      </c>
      <c r="H362" t="s">
        <v>22</v>
      </c>
      <c r="I362" t="s">
        <v>31</v>
      </c>
      <c r="J362">
        <v>9</v>
      </c>
      <c r="K362">
        <v>2026</v>
      </c>
      <c r="L362">
        <v>4</v>
      </c>
      <c r="M362">
        <v>19</v>
      </c>
      <c r="N362" t="s">
        <v>28</v>
      </c>
      <c r="O362" t="s">
        <v>24</v>
      </c>
      <c r="P362" t="s">
        <v>49</v>
      </c>
      <c r="Q362" t="s">
        <v>32</v>
      </c>
    </row>
    <row r="363" spans="1:17" x14ac:dyDescent="0.35">
      <c r="A363">
        <v>374</v>
      </c>
      <c r="B363">
        <v>13</v>
      </c>
      <c r="C363">
        <v>12</v>
      </c>
      <c r="D363">
        <v>6</v>
      </c>
      <c r="E363" s="1">
        <v>46106.979166666657</v>
      </c>
      <c r="F363">
        <v>3</v>
      </c>
      <c r="G363">
        <v>27</v>
      </c>
      <c r="H363" t="s">
        <v>22</v>
      </c>
      <c r="I363" t="s">
        <v>31</v>
      </c>
      <c r="J363">
        <v>9</v>
      </c>
      <c r="K363">
        <v>2026</v>
      </c>
      <c r="L363">
        <v>3</v>
      </c>
      <c r="M363">
        <v>23</v>
      </c>
      <c r="N363" t="s">
        <v>19</v>
      </c>
      <c r="O363" t="s">
        <v>13</v>
      </c>
      <c r="P363" t="s">
        <v>57</v>
      </c>
      <c r="Q363" t="s">
        <v>21</v>
      </c>
    </row>
    <row r="364" spans="1:17" x14ac:dyDescent="0.35">
      <c r="A364">
        <v>375</v>
      </c>
      <c r="B364">
        <v>3</v>
      </c>
      <c r="C364">
        <v>8</v>
      </c>
      <c r="D364">
        <v>4</v>
      </c>
      <c r="E364" s="1">
        <v>46306.916666666657</v>
      </c>
      <c r="F364">
        <v>2</v>
      </c>
      <c r="G364">
        <v>20</v>
      </c>
      <c r="H364" t="s">
        <v>22</v>
      </c>
      <c r="I364" t="s">
        <v>31</v>
      </c>
      <c r="J364">
        <v>10</v>
      </c>
      <c r="K364">
        <v>2026</v>
      </c>
      <c r="L364">
        <v>10</v>
      </c>
      <c r="M364">
        <v>22</v>
      </c>
      <c r="N364" t="s">
        <v>28</v>
      </c>
      <c r="O364" t="s">
        <v>24</v>
      </c>
      <c r="P364" t="s">
        <v>42</v>
      </c>
      <c r="Q364" t="s">
        <v>26</v>
      </c>
    </row>
    <row r="365" spans="1:17" x14ac:dyDescent="0.35">
      <c r="A365">
        <v>376</v>
      </c>
      <c r="B365">
        <v>20</v>
      </c>
      <c r="C365">
        <v>14</v>
      </c>
      <c r="D365">
        <v>3</v>
      </c>
      <c r="E365" s="1">
        <v>46220.645833333343</v>
      </c>
      <c r="F365">
        <v>2</v>
      </c>
      <c r="G365">
        <v>16</v>
      </c>
      <c r="H365" t="s">
        <v>22</v>
      </c>
      <c r="I365" t="s">
        <v>18</v>
      </c>
      <c r="J365">
        <v>8</v>
      </c>
      <c r="K365">
        <v>2026</v>
      </c>
      <c r="L365">
        <v>7</v>
      </c>
      <c r="M365">
        <v>15</v>
      </c>
      <c r="N365" t="s">
        <v>43</v>
      </c>
      <c r="O365" t="s">
        <v>13</v>
      </c>
      <c r="P365" t="s">
        <v>29</v>
      </c>
      <c r="Q365" t="s">
        <v>45</v>
      </c>
    </row>
    <row r="366" spans="1:17" x14ac:dyDescent="0.35">
      <c r="A366">
        <v>377</v>
      </c>
      <c r="B366">
        <v>13</v>
      </c>
      <c r="C366">
        <v>8</v>
      </c>
      <c r="D366">
        <v>3</v>
      </c>
      <c r="E366" s="1">
        <v>46306.729166666657</v>
      </c>
      <c r="F366">
        <v>6</v>
      </c>
      <c r="G366">
        <v>54</v>
      </c>
      <c r="H366" t="s">
        <v>22</v>
      </c>
      <c r="I366" t="s">
        <v>18</v>
      </c>
      <c r="J366">
        <v>9</v>
      </c>
      <c r="K366">
        <v>2026</v>
      </c>
      <c r="L366">
        <v>10</v>
      </c>
      <c r="M366">
        <v>17</v>
      </c>
      <c r="N366" t="s">
        <v>28</v>
      </c>
      <c r="O366" t="s">
        <v>24</v>
      </c>
      <c r="P366" t="s">
        <v>42</v>
      </c>
      <c r="Q366" t="s">
        <v>45</v>
      </c>
    </row>
    <row r="367" spans="1:17" x14ac:dyDescent="0.35">
      <c r="A367">
        <v>378</v>
      </c>
      <c r="B367">
        <v>11</v>
      </c>
      <c r="C367">
        <v>5</v>
      </c>
      <c r="D367">
        <v>8</v>
      </c>
      <c r="E367" s="1">
        <v>46243.833333333343</v>
      </c>
      <c r="F367">
        <v>4</v>
      </c>
      <c r="G367">
        <v>36</v>
      </c>
      <c r="H367" t="s">
        <v>17</v>
      </c>
      <c r="I367" t="s">
        <v>31</v>
      </c>
      <c r="J367">
        <v>9</v>
      </c>
      <c r="K367">
        <v>2026</v>
      </c>
      <c r="L367">
        <v>8</v>
      </c>
      <c r="M367">
        <v>20</v>
      </c>
      <c r="N367" t="s">
        <v>28</v>
      </c>
      <c r="O367" t="s">
        <v>24</v>
      </c>
      <c r="P367" t="s">
        <v>53</v>
      </c>
      <c r="Q367" t="s">
        <v>46</v>
      </c>
    </row>
    <row r="368" spans="1:17" x14ac:dyDescent="0.35">
      <c r="A368">
        <v>379</v>
      </c>
      <c r="B368">
        <v>14</v>
      </c>
      <c r="C368">
        <v>15</v>
      </c>
      <c r="D368">
        <v>1</v>
      </c>
      <c r="E368" s="1">
        <v>46282.729166666657</v>
      </c>
      <c r="F368">
        <v>6</v>
      </c>
      <c r="G368">
        <v>48</v>
      </c>
      <c r="H368" t="s">
        <v>22</v>
      </c>
      <c r="I368" t="s">
        <v>31</v>
      </c>
      <c r="J368">
        <v>8</v>
      </c>
      <c r="K368">
        <v>2026</v>
      </c>
      <c r="L368">
        <v>9</v>
      </c>
      <c r="M368">
        <v>17</v>
      </c>
      <c r="N368" t="s">
        <v>41</v>
      </c>
      <c r="O368" t="s">
        <v>13</v>
      </c>
      <c r="P368" t="s">
        <v>38</v>
      </c>
      <c r="Q368" t="s">
        <v>40</v>
      </c>
    </row>
    <row r="369" spans="1:17" x14ac:dyDescent="0.35">
      <c r="A369">
        <v>380</v>
      </c>
      <c r="B369">
        <v>2</v>
      </c>
      <c r="C369">
        <v>5</v>
      </c>
      <c r="D369">
        <v>5</v>
      </c>
      <c r="E369" s="1">
        <v>46245.833333333343</v>
      </c>
      <c r="F369">
        <v>2</v>
      </c>
      <c r="G369">
        <v>16</v>
      </c>
      <c r="H369" t="s">
        <v>22</v>
      </c>
      <c r="I369" t="s">
        <v>27</v>
      </c>
      <c r="J369">
        <v>8</v>
      </c>
      <c r="K369">
        <v>2026</v>
      </c>
      <c r="L369">
        <v>8</v>
      </c>
      <c r="M369">
        <v>20</v>
      </c>
      <c r="N369" t="s">
        <v>37</v>
      </c>
      <c r="O369" t="s">
        <v>13</v>
      </c>
      <c r="P369" t="s">
        <v>53</v>
      </c>
      <c r="Q369" t="s">
        <v>50</v>
      </c>
    </row>
    <row r="370" spans="1:17" x14ac:dyDescent="0.35">
      <c r="A370">
        <v>381</v>
      </c>
      <c r="B370">
        <v>3</v>
      </c>
      <c r="C370">
        <v>5</v>
      </c>
      <c r="D370">
        <v>10</v>
      </c>
      <c r="E370" s="1">
        <v>46057.916666666657</v>
      </c>
      <c r="F370">
        <v>1</v>
      </c>
      <c r="G370">
        <v>9</v>
      </c>
      <c r="H370" t="s">
        <v>22</v>
      </c>
      <c r="I370" t="s">
        <v>31</v>
      </c>
      <c r="J370">
        <v>9</v>
      </c>
      <c r="K370">
        <v>2026</v>
      </c>
      <c r="L370">
        <v>2</v>
      </c>
      <c r="M370">
        <v>22</v>
      </c>
      <c r="N370" t="s">
        <v>19</v>
      </c>
      <c r="O370" t="s">
        <v>13</v>
      </c>
      <c r="P370" t="s">
        <v>53</v>
      </c>
      <c r="Q370" t="s">
        <v>32</v>
      </c>
    </row>
    <row r="371" spans="1:17" x14ac:dyDescent="0.35">
      <c r="A371">
        <v>382</v>
      </c>
      <c r="B371">
        <v>13</v>
      </c>
      <c r="C371">
        <v>3</v>
      </c>
      <c r="D371">
        <v>10</v>
      </c>
      <c r="E371" s="1">
        <v>46129.9375</v>
      </c>
      <c r="F371">
        <v>1</v>
      </c>
      <c r="G371">
        <v>9</v>
      </c>
      <c r="H371" t="s">
        <v>22</v>
      </c>
      <c r="I371" t="s">
        <v>18</v>
      </c>
      <c r="J371">
        <v>9</v>
      </c>
      <c r="K371">
        <v>2026</v>
      </c>
      <c r="L371">
        <v>4</v>
      </c>
      <c r="M371">
        <v>22</v>
      </c>
      <c r="N371" t="s">
        <v>43</v>
      </c>
      <c r="O371" t="s">
        <v>13</v>
      </c>
      <c r="P371" t="s">
        <v>20</v>
      </c>
      <c r="Q371" t="s">
        <v>32</v>
      </c>
    </row>
    <row r="372" spans="1:17" x14ac:dyDescent="0.35">
      <c r="A372">
        <v>383</v>
      </c>
      <c r="B372">
        <v>7</v>
      </c>
      <c r="C372">
        <v>15</v>
      </c>
      <c r="D372">
        <v>9</v>
      </c>
      <c r="E372" s="1">
        <v>46230.6875</v>
      </c>
      <c r="F372">
        <v>1</v>
      </c>
      <c r="G372">
        <v>8</v>
      </c>
      <c r="H372" t="s">
        <v>22</v>
      </c>
      <c r="I372" t="s">
        <v>18</v>
      </c>
      <c r="J372">
        <v>8</v>
      </c>
      <c r="K372">
        <v>2026</v>
      </c>
      <c r="L372">
        <v>7</v>
      </c>
      <c r="M372">
        <v>16</v>
      </c>
      <c r="N372" t="s">
        <v>33</v>
      </c>
      <c r="O372" t="s">
        <v>13</v>
      </c>
      <c r="P372" t="s">
        <v>38</v>
      </c>
      <c r="Q372" t="s">
        <v>30</v>
      </c>
    </row>
    <row r="373" spans="1:17" x14ac:dyDescent="0.35">
      <c r="A373">
        <v>384</v>
      </c>
      <c r="B373">
        <v>12</v>
      </c>
      <c r="C373">
        <v>6</v>
      </c>
      <c r="D373">
        <v>10</v>
      </c>
      <c r="E373" s="1">
        <v>46106.958333333343</v>
      </c>
      <c r="F373">
        <v>1</v>
      </c>
      <c r="G373">
        <v>9</v>
      </c>
      <c r="H373" t="s">
        <v>22</v>
      </c>
      <c r="I373" t="s">
        <v>31</v>
      </c>
      <c r="J373">
        <v>9</v>
      </c>
      <c r="K373">
        <v>2026</v>
      </c>
      <c r="L373">
        <v>3</v>
      </c>
      <c r="M373">
        <v>23</v>
      </c>
      <c r="N373" t="s">
        <v>19</v>
      </c>
      <c r="O373" t="s">
        <v>13</v>
      </c>
      <c r="P373" t="s">
        <v>52</v>
      </c>
      <c r="Q373" t="s">
        <v>32</v>
      </c>
    </row>
    <row r="374" spans="1:17" x14ac:dyDescent="0.35">
      <c r="A374">
        <v>385</v>
      </c>
      <c r="B374">
        <v>14</v>
      </c>
      <c r="C374">
        <v>3</v>
      </c>
      <c r="D374">
        <v>4</v>
      </c>
      <c r="E374" s="1">
        <v>46163.833333333343</v>
      </c>
      <c r="F374">
        <v>4</v>
      </c>
      <c r="G374">
        <v>32</v>
      </c>
      <c r="H374" t="s">
        <v>22</v>
      </c>
      <c r="I374" t="s">
        <v>31</v>
      </c>
      <c r="J374">
        <v>8</v>
      </c>
      <c r="K374">
        <v>2026</v>
      </c>
      <c r="L374">
        <v>5</v>
      </c>
      <c r="M374">
        <v>20</v>
      </c>
      <c r="N374" t="s">
        <v>41</v>
      </c>
      <c r="O374" t="s">
        <v>13</v>
      </c>
      <c r="P374" t="s">
        <v>20</v>
      </c>
      <c r="Q374" t="s">
        <v>26</v>
      </c>
    </row>
    <row r="375" spans="1:17" x14ac:dyDescent="0.35">
      <c r="A375">
        <v>386</v>
      </c>
      <c r="B375">
        <v>13</v>
      </c>
      <c r="C375">
        <v>2</v>
      </c>
      <c r="D375">
        <v>9</v>
      </c>
      <c r="E375" s="1">
        <v>46187.791666666657</v>
      </c>
      <c r="F375">
        <v>1</v>
      </c>
      <c r="G375">
        <v>9</v>
      </c>
      <c r="H375" t="s">
        <v>22</v>
      </c>
      <c r="I375" t="s">
        <v>31</v>
      </c>
      <c r="J375">
        <v>9</v>
      </c>
      <c r="K375">
        <v>2026</v>
      </c>
      <c r="L375">
        <v>6</v>
      </c>
      <c r="M375">
        <v>19</v>
      </c>
      <c r="N375" t="s">
        <v>28</v>
      </c>
      <c r="O375" t="s">
        <v>24</v>
      </c>
      <c r="P375" t="s">
        <v>44</v>
      </c>
      <c r="Q375" t="s">
        <v>30</v>
      </c>
    </row>
    <row r="376" spans="1:17" x14ac:dyDescent="0.35">
      <c r="A376">
        <v>387</v>
      </c>
      <c r="B376">
        <v>5</v>
      </c>
      <c r="C376">
        <v>19</v>
      </c>
      <c r="D376">
        <v>7</v>
      </c>
      <c r="E376" s="1">
        <v>46248.9375</v>
      </c>
      <c r="F376">
        <v>3</v>
      </c>
      <c r="G376">
        <v>27</v>
      </c>
      <c r="H376" t="s">
        <v>22</v>
      </c>
      <c r="I376" t="s">
        <v>27</v>
      </c>
      <c r="J376">
        <v>9</v>
      </c>
      <c r="K376">
        <v>2026</v>
      </c>
      <c r="L376">
        <v>8</v>
      </c>
      <c r="M376">
        <v>22</v>
      </c>
      <c r="N376" t="s">
        <v>43</v>
      </c>
      <c r="O376" t="s">
        <v>13</v>
      </c>
      <c r="P376" t="s">
        <v>58</v>
      </c>
      <c r="Q376" t="s">
        <v>35</v>
      </c>
    </row>
    <row r="377" spans="1:17" x14ac:dyDescent="0.35">
      <c r="A377">
        <v>388</v>
      </c>
      <c r="B377">
        <v>19</v>
      </c>
      <c r="C377">
        <v>10</v>
      </c>
      <c r="D377">
        <v>8</v>
      </c>
      <c r="E377" s="1">
        <v>46384.708333333343</v>
      </c>
      <c r="F377">
        <v>1</v>
      </c>
      <c r="G377">
        <v>8</v>
      </c>
      <c r="H377" t="s">
        <v>22</v>
      </c>
      <c r="I377" t="s">
        <v>27</v>
      </c>
      <c r="J377">
        <v>8</v>
      </c>
      <c r="K377">
        <v>2026</v>
      </c>
      <c r="L377">
        <v>12</v>
      </c>
      <c r="M377">
        <v>17</v>
      </c>
      <c r="N377" t="s">
        <v>33</v>
      </c>
      <c r="O377" t="s">
        <v>13</v>
      </c>
      <c r="P377" t="s">
        <v>25</v>
      </c>
      <c r="Q377" t="s">
        <v>46</v>
      </c>
    </row>
    <row r="378" spans="1:17" x14ac:dyDescent="0.35">
      <c r="A378">
        <v>389</v>
      </c>
      <c r="B378">
        <v>20</v>
      </c>
      <c r="C378">
        <v>10</v>
      </c>
      <c r="D378">
        <v>2</v>
      </c>
      <c r="E378" s="1">
        <v>46307.604166666657</v>
      </c>
      <c r="F378">
        <v>2</v>
      </c>
      <c r="G378">
        <v>16</v>
      </c>
      <c r="H378" t="s">
        <v>22</v>
      </c>
      <c r="I378" t="s">
        <v>27</v>
      </c>
      <c r="J378">
        <v>8</v>
      </c>
      <c r="K378">
        <v>2026</v>
      </c>
      <c r="L378">
        <v>10</v>
      </c>
      <c r="M378">
        <v>14</v>
      </c>
      <c r="N378" t="s">
        <v>33</v>
      </c>
      <c r="O378" t="s">
        <v>13</v>
      </c>
      <c r="P378" t="s">
        <v>25</v>
      </c>
      <c r="Q378" t="s">
        <v>54</v>
      </c>
    </row>
    <row r="379" spans="1:17" x14ac:dyDescent="0.35">
      <c r="A379">
        <v>390</v>
      </c>
      <c r="B379">
        <v>19</v>
      </c>
      <c r="C379">
        <v>20</v>
      </c>
      <c r="D379">
        <v>6</v>
      </c>
      <c r="E379" s="1">
        <v>46139.625</v>
      </c>
      <c r="F379">
        <v>1</v>
      </c>
      <c r="G379">
        <v>8</v>
      </c>
      <c r="H379" t="s">
        <v>22</v>
      </c>
      <c r="I379" t="s">
        <v>27</v>
      </c>
      <c r="J379">
        <v>8</v>
      </c>
      <c r="K379">
        <v>2026</v>
      </c>
      <c r="L379">
        <v>4</v>
      </c>
      <c r="M379">
        <v>15</v>
      </c>
      <c r="N379" t="s">
        <v>33</v>
      </c>
      <c r="O379" t="s">
        <v>13</v>
      </c>
      <c r="P379" t="s">
        <v>36</v>
      </c>
      <c r="Q379" t="s">
        <v>21</v>
      </c>
    </row>
    <row r="380" spans="1:17" x14ac:dyDescent="0.35">
      <c r="A380">
        <v>391</v>
      </c>
      <c r="B380">
        <v>9</v>
      </c>
      <c r="C380">
        <v>20</v>
      </c>
      <c r="D380">
        <v>8</v>
      </c>
      <c r="E380" s="1">
        <v>46140.770833333343</v>
      </c>
      <c r="F380">
        <v>4</v>
      </c>
      <c r="G380">
        <v>32</v>
      </c>
      <c r="H380" t="s">
        <v>22</v>
      </c>
      <c r="I380" t="s">
        <v>31</v>
      </c>
      <c r="J380">
        <v>8</v>
      </c>
      <c r="K380">
        <v>2026</v>
      </c>
      <c r="L380">
        <v>4</v>
      </c>
      <c r="M380">
        <v>18</v>
      </c>
      <c r="N380" t="s">
        <v>37</v>
      </c>
      <c r="O380" t="s">
        <v>13</v>
      </c>
      <c r="P380" t="s">
        <v>36</v>
      </c>
      <c r="Q380" t="s">
        <v>46</v>
      </c>
    </row>
    <row r="381" spans="1:17" x14ac:dyDescent="0.35">
      <c r="A381">
        <v>392</v>
      </c>
      <c r="B381">
        <v>3</v>
      </c>
      <c r="C381">
        <v>5</v>
      </c>
      <c r="D381">
        <v>6</v>
      </c>
      <c r="E381" s="1">
        <v>46193.708333333343</v>
      </c>
      <c r="F381">
        <v>5</v>
      </c>
      <c r="G381">
        <v>45</v>
      </c>
      <c r="H381" t="s">
        <v>22</v>
      </c>
      <c r="I381" t="s">
        <v>27</v>
      </c>
      <c r="J381">
        <v>9</v>
      </c>
      <c r="K381">
        <v>2026</v>
      </c>
      <c r="L381">
        <v>6</v>
      </c>
      <c r="M381">
        <v>17</v>
      </c>
      <c r="N381" t="s">
        <v>23</v>
      </c>
      <c r="O381" t="s">
        <v>24</v>
      </c>
      <c r="P381" t="s">
        <v>53</v>
      </c>
      <c r="Q381" t="s">
        <v>21</v>
      </c>
    </row>
    <row r="382" spans="1:17" x14ac:dyDescent="0.35">
      <c r="A382">
        <v>393</v>
      </c>
      <c r="B382">
        <v>18</v>
      </c>
      <c r="C382">
        <v>9</v>
      </c>
      <c r="D382">
        <v>9</v>
      </c>
      <c r="E382" s="1">
        <v>46378.75</v>
      </c>
      <c r="F382">
        <v>2</v>
      </c>
      <c r="G382">
        <v>16</v>
      </c>
      <c r="H382" t="s">
        <v>22</v>
      </c>
      <c r="I382" t="s">
        <v>18</v>
      </c>
      <c r="J382">
        <v>8</v>
      </c>
      <c r="K382">
        <v>2026</v>
      </c>
      <c r="L382">
        <v>12</v>
      </c>
      <c r="M382">
        <v>18</v>
      </c>
      <c r="N382" t="s">
        <v>37</v>
      </c>
      <c r="O382" t="s">
        <v>13</v>
      </c>
      <c r="P382" t="s">
        <v>48</v>
      </c>
      <c r="Q382" t="s">
        <v>30</v>
      </c>
    </row>
    <row r="383" spans="1:17" x14ac:dyDescent="0.35">
      <c r="A383">
        <v>394</v>
      </c>
      <c r="B383">
        <v>16</v>
      </c>
      <c r="C383">
        <v>13</v>
      </c>
      <c r="D383">
        <v>6</v>
      </c>
      <c r="E383" s="1">
        <v>46222.875</v>
      </c>
      <c r="F383">
        <v>1</v>
      </c>
      <c r="G383">
        <v>10</v>
      </c>
      <c r="H383" t="s">
        <v>22</v>
      </c>
      <c r="I383" t="s">
        <v>27</v>
      </c>
      <c r="J383">
        <v>10</v>
      </c>
      <c r="K383">
        <v>2026</v>
      </c>
      <c r="L383">
        <v>7</v>
      </c>
      <c r="M383">
        <v>21</v>
      </c>
      <c r="N383" t="s">
        <v>28</v>
      </c>
      <c r="O383" t="s">
        <v>24</v>
      </c>
      <c r="P383" t="s">
        <v>49</v>
      </c>
      <c r="Q383" t="s">
        <v>21</v>
      </c>
    </row>
    <row r="384" spans="1:17" x14ac:dyDescent="0.35">
      <c r="A384">
        <v>395</v>
      </c>
      <c r="B384">
        <v>4</v>
      </c>
      <c r="C384">
        <v>10</v>
      </c>
      <c r="D384">
        <v>2</v>
      </c>
      <c r="E384" s="1">
        <v>46316.8125</v>
      </c>
      <c r="F384">
        <v>2</v>
      </c>
      <c r="G384">
        <v>16</v>
      </c>
      <c r="H384" t="s">
        <v>22</v>
      </c>
      <c r="I384" t="s">
        <v>31</v>
      </c>
      <c r="J384">
        <v>8</v>
      </c>
      <c r="K384">
        <v>2026</v>
      </c>
      <c r="L384">
        <v>10</v>
      </c>
      <c r="M384">
        <v>19</v>
      </c>
      <c r="N384" t="s">
        <v>19</v>
      </c>
      <c r="O384" t="s">
        <v>13</v>
      </c>
      <c r="P384" t="s">
        <v>25</v>
      </c>
      <c r="Q384" t="s">
        <v>54</v>
      </c>
    </row>
    <row r="385" spans="1:17" x14ac:dyDescent="0.35">
      <c r="A385">
        <v>396</v>
      </c>
      <c r="B385">
        <v>19</v>
      </c>
      <c r="C385">
        <v>12</v>
      </c>
      <c r="D385">
        <v>7</v>
      </c>
      <c r="E385" s="1">
        <v>46093.6875</v>
      </c>
      <c r="F385">
        <v>6</v>
      </c>
      <c r="G385">
        <v>48</v>
      </c>
      <c r="H385" t="s">
        <v>22</v>
      </c>
      <c r="I385" t="s">
        <v>27</v>
      </c>
      <c r="J385">
        <v>8</v>
      </c>
      <c r="K385">
        <v>2026</v>
      </c>
      <c r="L385">
        <v>3</v>
      </c>
      <c r="M385">
        <v>16</v>
      </c>
      <c r="N385" t="s">
        <v>41</v>
      </c>
      <c r="O385" t="s">
        <v>13</v>
      </c>
      <c r="P385" t="s">
        <v>57</v>
      </c>
      <c r="Q385" t="s">
        <v>35</v>
      </c>
    </row>
    <row r="386" spans="1:17" x14ac:dyDescent="0.35">
      <c r="A386">
        <v>397</v>
      </c>
      <c r="B386">
        <v>7</v>
      </c>
      <c r="C386">
        <v>4</v>
      </c>
      <c r="D386">
        <v>2</v>
      </c>
      <c r="E386" s="1">
        <v>46173.6875</v>
      </c>
      <c r="F386">
        <v>1</v>
      </c>
      <c r="G386">
        <v>9</v>
      </c>
      <c r="H386" t="s">
        <v>22</v>
      </c>
      <c r="I386" t="s">
        <v>27</v>
      </c>
      <c r="J386">
        <v>9</v>
      </c>
      <c r="K386">
        <v>2026</v>
      </c>
      <c r="L386">
        <v>5</v>
      </c>
      <c r="M386">
        <v>16</v>
      </c>
      <c r="N386" t="s">
        <v>28</v>
      </c>
      <c r="O386" t="s">
        <v>24</v>
      </c>
      <c r="P386" t="s">
        <v>55</v>
      </c>
      <c r="Q386" t="s">
        <v>54</v>
      </c>
    </row>
    <row r="387" spans="1:17" x14ac:dyDescent="0.35">
      <c r="A387">
        <v>398</v>
      </c>
      <c r="B387">
        <v>18</v>
      </c>
      <c r="C387">
        <v>3</v>
      </c>
      <c r="D387">
        <v>3</v>
      </c>
      <c r="E387" s="1">
        <v>46342.9375</v>
      </c>
      <c r="F387">
        <v>5</v>
      </c>
      <c r="G387">
        <v>45</v>
      </c>
      <c r="H387" t="s">
        <v>22</v>
      </c>
      <c r="I387" t="s">
        <v>27</v>
      </c>
      <c r="J387">
        <v>9</v>
      </c>
      <c r="K387">
        <v>2026</v>
      </c>
      <c r="L387">
        <v>11</v>
      </c>
      <c r="M387">
        <v>22</v>
      </c>
      <c r="N387" t="s">
        <v>33</v>
      </c>
      <c r="O387" t="s">
        <v>13</v>
      </c>
      <c r="P387" t="s">
        <v>20</v>
      </c>
      <c r="Q387" t="s">
        <v>45</v>
      </c>
    </row>
    <row r="388" spans="1:17" x14ac:dyDescent="0.35">
      <c r="A388">
        <v>399</v>
      </c>
      <c r="B388">
        <v>18</v>
      </c>
      <c r="C388">
        <v>14</v>
      </c>
      <c r="D388">
        <v>5</v>
      </c>
      <c r="E388" s="1">
        <v>46362.8125</v>
      </c>
      <c r="F388">
        <v>1</v>
      </c>
      <c r="G388">
        <v>9</v>
      </c>
      <c r="H388" t="s">
        <v>22</v>
      </c>
      <c r="I388" t="s">
        <v>31</v>
      </c>
      <c r="J388">
        <v>9</v>
      </c>
      <c r="K388">
        <v>2026</v>
      </c>
      <c r="L388">
        <v>12</v>
      </c>
      <c r="M388">
        <v>19</v>
      </c>
      <c r="N388" t="s">
        <v>28</v>
      </c>
      <c r="O388" t="s">
        <v>24</v>
      </c>
      <c r="P388" t="s">
        <v>29</v>
      </c>
      <c r="Q388" t="s">
        <v>50</v>
      </c>
    </row>
    <row r="389" spans="1:17" x14ac:dyDescent="0.35">
      <c r="A389">
        <v>400</v>
      </c>
      <c r="B389">
        <v>14</v>
      </c>
      <c r="C389">
        <v>19</v>
      </c>
      <c r="D389">
        <v>9</v>
      </c>
      <c r="E389" s="1">
        <v>46164.833333333343</v>
      </c>
      <c r="F389">
        <v>4</v>
      </c>
      <c r="G389">
        <v>32</v>
      </c>
      <c r="H389" t="s">
        <v>22</v>
      </c>
      <c r="I389" t="s">
        <v>31</v>
      </c>
      <c r="J389">
        <v>8</v>
      </c>
      <c r="K389">
        <v>2026</v>
      </c>
      <c r="L389">
        <v>5</v>
      </c>
      <c r="M389">
        <v>20</v>
      </c>
      <c r="N389" t="s">
        <v>43</v>
      </c>
      <c r="O389" t="s">
        <v>13</v>
      </c>
      <c r="P389" t="s">
        <v>58</v>
      </c>
      <c r="Q389" t="s">
        <v>30</v>
      </c>
    </row>
    <row r="390" spans="1:17" x14ac:dyDescent="0.35">
      <c r="A390">
        <v>401</v>
      </c>
      <c r="B390">
        <v>3</v>
      </c>
      <c r="C390">
        <v>1</v>
      </c>
      <c r="D390">
        <v>9</v>
      </c>
      <c r="E390" s="1">
        <v>46235.8125</v>
      </c>
      <c r="F390">
        <v>6</v>
      </c>
      <c r="G390">
        <v>54</v>
      </c>
      <c r="H390" t="s">
        <v>22</v>
      </c>
      <c r="I390" t="s">
        <v>31</v>
      </c>
      <c r="J390">
        <v>9</v>
      </c>
      <c r="K390">
        <v>2026</v>
      </c>
      <c r="L390">
        <v>8</v>
      </c>
      <c r="M390">
        <v>19</v>
      </c>
      <c r="N390" t="s">
        <v>23</v>
      </c>
      <c r="O390" t="s">
        <v>24</v>
      </c>
      <c r="P390" t="s">
        <v>39</v>
      </c>
      <c r="Q390" t="s">
        <v>30</v>
      </c>
    </row>
    <row r="391" spans="1:17" x14ac:dyDescent="0.35">
      <c r="A391">
        <v>402</v>
      </c>
      <c r="B391">
        <v>8</v>
      </c>
      <c r="C391">
        <v>16</v>
      </c>
      <c r="D391">
        <v>2</v>
      </c>
      <c r="E391" s="1">
        <v>46132.625</v>
      </c>
      <c r="F391">
        <v>2</v>
      </c>
      <c r="G391">
        <v>16</v>
      </c>
      <c r="H391" t="s">
        <v>22</v>
      </c>
      <c r="I391" t="s">
        <v>27</v>
      </c>
      <c r="J391">
        <v>8</v>
      </c>
      <c r="K391">
        <v>2026</v>
      </c>
      <c r="L391">
        <v>4</v>
      </c>
      <c r="M391">
        <v>15</v>
      </c>
      <c r="N391" t="s">
        <v>33</v>
      </c>
      <c r="O391" t="s">
        <v>13</v>
      </c>
      <c r="P391" t="s">
        <v>51</v>
      </c>
      <c r="Q391" t="s">
        <v>54</v>
      </c>
    </row>
    <row r="392" spans="1:17" x14ac:dyDescent="0.35">
      <c r="A392">
        <v>403</v>
      </c>
      <c r="B392">
        <v>3</v>
      </c>
      <c r="C392">
        <v>19</v>
      </c>
      <c r="D392">
        <v>2</v>
      </c>
      <c r="E392" s="1">
        <v>46294.729166666657</v>
      </c>
      <c r="F392">
        <v>5</v>
      </c>
      <c r="G392">
        <v>40</v>
      </c>
      <c r="H392" t="s">
        <v>22</v>
      </c>
      <c r="I392" t="s">
        <v>18</v>
      </c>
      <c r="J392">
        <v>8</v>
      </c>
      <c r="K392">
        <v>2026</v>
      </c>
      <c r="L392">
        <v>9</v>
      </c>
      <c r="M392">
        <v>17</v>
      </c>
      <c r="N392" t="s">
        <v>37</v>
      </c>
      <c r="O392" t="s">
        <v>13</v>
      </c>
      <c r="P392" t="s">
        <v>58</v>
      </c>
      <c r="Q392" t="s">
        <v>54</v>
      </c>
    </row>
    <row r="393" spans="1:17" x14ac:dyDescent="0.35">
      <c r="A393">
        <v>404</v>
      </c>
      <c r="B393">
        <v>15</v>
      </c>
      <c r="C393">
        <v>8</v>
      </c>
      <c r="D393">
        <v>3</v>
      </c>
      <c r="E393" s="1">
        <v>46033.958333333343</v>
      </c>
      <c r="F393">
        <v>1</v>
      </c>
      <c r="G393">
        <v>10</v>
      </c>
      <c r="H393" t="s">
        <v>22</v>
      </c>
      <c r="I393" t="s">
        <v>18</v>
      </c>
      <c r="J393">
        <v>10</v>
      </c>
      <c r="K393">
        <v>2026</v>
      </c>
      <c r="L393">
        <v>1</v>
      </c>
      <c r="M393">
        <v>23</v>
      </c>
      <c r="N393" t="s">
        <v>28</v>
      </c>
      <c r="O393" t="s">
        <v>24</v>
      </c>
      <c r="P393" t="s">
        <v>42</v>
      </c>
      <c r="Q393" t="s">
        <v>45</v>
      </c>
    </row>
    <row r="394" spans="1:17" x14ac:dyDescent="0.35">
      <c r="A394">
        <v>405</v>
      </c>
      <c r="B394">
        <v>12</v>
      </c>
      <c r="C394">
        <v>13</v>
      </c>
      <c r="D394">
        <v>7</v>
      </c>
      <c r="E394" s="1">
        <v>46183.895833333343</v>
      </c>
      <c r="F394">
        <v>6</v>
      </c>
      <c r="G394">
        <v>54</v>
      </c>
      <c r="H394" t="s">
        <v>22</v>
      </c>
      <c r="I394" t="s">
        <v>31</v>
      </c>
      <c r="J394">
        <v>9</v>
      </c>
      <c r="K394">
        <v>2026</v>
      </c>
      <c r="L394">
        <v>6</v>
      </c>
      <c r="M394">
        <v>21</v>
      </c>
      <c r="N394" t="s">
        <v>19</v>
      </c>
      <c r="O394" t="s">
        <v>13</v>
      </c>
      <c r="P394" t="s">
        <v>49</v>
      </c>
      <c r="Q394" t="s">
        <v>35</v>
      </c>
    </row>
    <row r="395" spans="1:17" x14ac:dyDescent="0.35">
      <c r="A395">
        <v>406</v>
      </c>
      <c r="B395">
        <v>20</v>
      </c>
      <c r="C395">
        <v>20</v>
      </c>
      <c r="D395">
        <v>1</v>
      </c>
      <c r="E395" s="1">
        <v>46073.8125</v>
      </c>
      <c r="F395">
        <v>4</v>
      </c>
      <c r="G395">
        <v>32</v>
      </c>
      <c r="H395" t="s">
        <v>22</v>
      </c>
      <c r="I395" t="s">
        <v>27</v>
      </c>
      <c r="J395">
        <v>8</v>
      </c>
      <c r="K395">
        <v>2026</v>
      </c>
      <c r="L395">
        <v>2</v>
      </c>
      <c r="M395">
        <v>19</v>
      </c>
      <c r="N395" t="s">
        <v>43</v>
      </c>
      <c r="O395" t="s">
        <v>13</v>
      </c>
      <c r="P395" t="s">
        <v>36</v>
      </c>
      <c r="Q395" t="s">
        <v>40</v>
      </c>
    </row>
    <row r="396" spans="1:17" x14ac:dyDescent="0.35">
      <c r="A396">
        <v>407</v>
      </c>
      <c r="B396">
        <v>12</v>
      </c>
      <c r="C396">
        <v>20</v>
      </c>
      <c r="D396">
        <v>8</v>
      </c>
      <c r="E396" s="1">
        <v>46188.666666666657</v>
      </c>
      <c r="F396">
        <v>3</v>
      </c>
      <c r="G396">
        <v>24</v>
      </c>
      <c r="H396" t="s">
        <v>22</v>
      </c>
      <c r="I396" t="s">
        <v>27</v>
      </c>
      <c r="J396">
        <v>8</v>
      </c>
      <c r="K396">
        <v>2026</v>
      </c>
      <c r="L396">
        <v>6</v>
      </c>
      <c r="M396">
        <v>16</v>
      </c>
      <c r="N396" t="s">
        <v>33</v>
      </c>
      <c r="O396" t="s">
        <v>13</v>
      </c>
      <c r="P396" t="s">
        <v>36</v>
      </c>
      <c r="Q396" t="s">
        <v>46</v>
      </c>
    </row>
    <row r="397" spans="1:17" x14ac:dyDescent="0.35">
      <c r="A397">
        <v>408</v>
      </c>
      <c r="B397">
        <v>15</v>
      </c>
      <c r="C397">
        <v>19</v>
      </c>
      <c r="D397">
        <v>7</v>
      </c>
      <c r="E397" s="1">
        <v>46177.854166666657</v>
      </c>
      <c r="F397">
        <v>6</v>
      </c>
      <c r="G397">
        <v>48</v>
      </c>
      <c r="H397" t="s">
        <v>22</v>
      </c>
      <c r="I397" t="s">
        <v>31</v>
      </c>
      <c r="J397">
        <v>8</v>
      </c>
      <c r="K397">
        <v>2026</v>
      </c>
      <c r="L397">
        <v>6</v>
      </c>
      <c r="M397">
        <v>20</v>
      </c>
      <c r="N397" t="s">
        <v>41</v>
      </c>
      <c r="O397" t="s">
        <v>13</v>
      </c>
      <c r="P397" t="s">
        <v>58</v>
      </c>
      <c r="Q397" t="s">
        <v>35</v>
      </c>
    </row>
    <row r="398" spans="1:17" x14ac:dyDescent="0.35">
      <c r="A398">
        <v>409</v>
      </c>
      <c r="B398">
        <v>11</v>
      </c>
      <c r="C398">
        <v>13</v>
      </c>
      <c r="D398">
        <v>1</v>
      </c>
      <c r="E398" s="1">
        <v>46333.729166666657</v>
      </c>
      <c r="F398">
        <v>5</v>
      </c>
      <c r="G398">
        <v>45</v>
      </c>
      <c r="H398" t="s">
        <v>22</v>
      </c>
      <c r="I398" t="s">
        <v>18</v>
      </c>
      <c r="J398">
        <v>9</v>
      </c>
      <c r="K398">
        <v>2026</v>
      </c>
      <c r="L398">
        <v>11</v>
      </c>
      <c r="M398">
        <v>17</v>
      </c>
      <c r="N398" t="s">
        <v>23</v>
      </c>
      <c r="O398" t="s">
        <v>24</v>
      </c>
      <c r="P398" t="s">
        <v>49</v>
      </c>
      <c r="Q398" t="s">
        <v>40</v>
      </c>
    </row>
    <row r="399" spans="1:17" x14ac:dyDescent="0.35">
      <c r="A399">
        <v>410</v>
      </c>
      <c r="B399">
        <v>11</v>
      </c>
      <c r="C399">
        <v>19</v>
      </c>
      <c r="D399">
        <v>9</v>
      </c>
      <c r="E399" s="1">
        <v>46060.833333333343</v>
      </c>
      <c r="F399">
        <v>6</v>
      </c>
      <c r="G399">
        <v>54</v>
      </c>
      <c r="H399" t="s">
        <v>22</v>
      </c>
      <c r="I399" t="s">
        <v>31</v>
      </c>
      <c r="J399">
        <v>9</v>
      </c>
      <c r="K399">
        <v>2026</v>
      </c>
      <c r="L399">
        <v>2</v>
      </c>
      <c r="M399">
        <v>20</v>
      </c>
      <c r="N399" t="s">
        <v>23</v>
      </c>
      <c r="O399" t="s">
        <v>24</v>
      </c>
      <c r="P399" t="s">
        <v>58</v>
      </c>
      <c r="Q399" t="s">
        <v>30</v>
      </c>
    </row>
    <row r="400" spans="1:17" x14ac:dyDescent="0.35">
      <c r="A400">
        <v>411</v>
      </c>
      <c r="B400">
        <v>5</v>
      </c>
      <c r="C400">
        <v>13</v>
      </c>
      <c r="D400">
        <v>8</v>
      </c>
      <c r="E400" s="1">
        <v>46280.583333333343</v>
      </c>
      <c r="F400">
        <v>1</v>
      </c>
      <c r="G400">
        <v>8</v>
      </c>
      <c r="H400" t="s">
        <v>22</v>
      </c>
      <c r="I400" t="s">
        <v>18</v>
      </c>
      <c r="J400">
        <v>8</v>
      </c>
      <c r="K400">
        <v>2026</v>
      </c>
      <c r="L400">
        <v>9</v>
      </c>
      <c r="M400">
        <v>14</v>
      </c>
      <c r="N400" t="s">
        <v>37</v>
      </c>
      <c r="O400" t="s">
        <v>13</v>
      </c>
      <c r="P400" t="s">
        <v>49</v>
      </c>
      <c r="Q400" t="s">
        <v>46</v>
      </c>
    </row>
    <row r="401" spans="1:17" x14ac:dyDescent="0.35">
      <c r="A401">
        <v>412</v>
      </c>
      <c r="B401">
        <v>7</v>
      </c>
      <c r="C401">
        <v>20</v>
      </c>
      <c r="D401">
        <v>2</v>
      </c>
      <c r="E401" s="1">
        <v>46249.916666666657</v>
      </c>
      <c r="F401">
        <v>6</v>
      </c>
      <c r="G401">
        <v>60</v>
      </c>
      <c r="H401" t="s">
        <v>22</v>
      </c>
      <c r="I401" t="s">
        <v>31</v>
      </c>
      <c r="J401">
        <v>10</v>
      </c>
      <c r="K401">
        <v>2026</v>
      </c>
      <c r="L401">
        <v>8</v>
      </c>
      <c r="M401">
        <v>22</v>
      </c>
      <c r="N401" t="s">
        <v>23</v>
      </c>
      <c r="O401" t="s">
        <v>24</v>
      </c>
      <c r="P401" t="s">
        <v>36</v>
      </c>
      <c r="Q401" t="s">
        <v>54</v>
      </c>
    </row>
    <row r="402" spans="1:17" x14ac:dyDescent="0.35">
      <c r="A402">
        <v>413</v>
      </c>
      <c r="B402">
        <v>17</v>
      </c>
      <c r="C402">
        <v>6</v>
      </c>
      <c r="D402">
        <v>6</v>
      </c>
      <c r="E402" s="1">
        <v>46194.666666666657</v>
      </c>
      <c r="F402">
        <v>4</v>
      </c>
      <c r="G402">
        <v>36</v>
      </c>
      <c r="H402" t="s">
        <v>22</v>
      </c>
      <c r="I402" t="s">
        <v>18</v>
      </c>
      <c r="J402">
        <v>9</v>
      </c>
      <c r="K402">
        <v>2026</v>
      </c>
      <c r="L402">
        <v>6</v>
      </c>
      <c r="M402">
        <v>16</v>
      </c>
      <c r="N402" t="s">
        <v>28</v>
      </c>
      <c r="O402" t="s">
        <v>24</v>
      </c>
      <c r="P402" t="s">
        <v>52</v>
      </c>
      <c r="Q402" t="s">
        <v>21</v>
      </c>
    </row>
    <row r="403" spans="1:17" x14ac:dyDescent="0.35">
      <c r="A403">
        <v>414</v>
      </c>
      <c r="B403">
        <v>6</v>
      </c>
      <c r="C403">
        <v>3</v>
      </c>
      <c r="D403">
        <v>9</v>
      </c>
      <c r="E403" s="1">
        <v>46325.791666666657</v>
      </c>
      <c r="F403">
        <v>5</v>
      </c>
      <c r="G403">
        <v>40</v>
      </c>
      <c r="H403" t="s">
        <v>22</v>
      </c>
      <c r="I403" t="s">
        <v>18</v>
      </c>
      <c r="J403">
        <v>8</v>
      </c>
      <c r="K403">
        <v>2026</v>
      </c>
      <c r="L403">
        <v>10</v>
      </c>
      <c r="M403">
        <v>19</v>
      </c>
      <c r="N403" t="s">
        <v>43</v>
      </c>
      <c r="O403" t="s">
        <v>13</v>
      </c>
      <c r="P403" t="s">
        <v>20</v>
      </c>
      <c r="Q403" t="s">
        <v>30</v>
      </c>
    </row>
    <row r="404" spans="1:17" x14ac:dyDescent="0.35">
      <c r="A404">
        <v>415</v>
      </c>
      <c r="B404">
        <v>16</v>
      </c>
      <c r="C404">
        <v>10</v>
      </c>
      <c r="D404">
        <v>10</v>
      </c>
      <c r="E404" s="1">
        <v>46286.770833333343</v>
      </c>
      <c r="F404">
        <v>4</v>
      </c>
      <c r="G404">
        <v>32</v>
      </c>
      <c r="H404" t="s">
        <v>22</v>
      </c>
      <c r="I404" t="s">
        <v>27</v>
      </c>
      <c r="J404">
        <v>8</v>
      </c>
      <c r="K404">
        <v>2026</v>
      </c>
      <c r="L404">
        <v>9</v>
      </c>
      <c r="M404">
        <v>18</v>
      </c>
      <c r="N404" t="s">
        <v>33</v>
      </c>
      <c r="O404" t="s">
        <v>13</v>
      </c>
      <c r="P404" t="s">
        <v>25</v>
      </c>
      <c r="Q404" t="s">
        <v>32</v>
      </c>
    </row>
    <row r="405" spans="1:17" x14ac:dyDescent="0.35">
      <c r="A405">
        <v>416</v>
      </c>
      <c r="B405">
        <v>4</v>
      </c>
      <c r="C405">
        <v>19</v>
      </c>
      <c r="D405">
        <v>6</v>
      </c>
      <c r="E405" s="1">
        <v>46270.791666666657</v>
      </c>
      <c r="F405">
        <v>1</v>
      </c>
      <c r="G405">
        <v>9</v>
      </c>
      <c r="H405" t="s">
        <v>22</v>
      </c>
      <c r="I405" t="s">
        <v>18</v>
      </c>
      <c r="J405">
        <v>9</v>
      </c>
      <c r="K405">
        <v>2026</v>
      </c>
      <c r="L405">
        <v>9</v>
      </c>
      <c r="M405">
        <v>19</v>
      </c>
      <c r="N405" t="s">
        <v>23</v>
      </c>
      <c r="O405" t="s">
        <v>24</v>
      </c>
      <c r="P405" t="s">
        <v>58</v>
      </c>
      <c r="Q405" t="s">
        <v>21</v>
      </c>
    </row>
    <row r="406" spans="1:17" x14ac:dyDescent="0.35">
      <c r="A406">
        <v>417</v>
      </c>
      <c r="B406">
        <v>1</v>
      </c>
      <c r="C406">
        <v>14</v>
      </c>
      <c r="D406">
        <v>5</v>
      </c>
      <c r="E406" s="1">
        <v>46158.583333333343</v>
      </c>
      <c r="F406">
        <v>1</v>
      </c>
      <c r="G406">
        <v>9</v>
      </c>
      <c r="H406" t="s">
        <v>17</v>
      </c>
      <c r="I406" t="s">
        <v>18</v>
      </c>
      <c r="J406">
        <v>9</v>
      </c>
      <c r="K406">
        <v>2026</v>
      </c>
      <c r="L406">
        <v>5</v>
      </c>
      <c r="M406">
        <v>14</v>
      </c>
      <c r="N406" t="s">
        <v>23</v>
      </c>
      <c r="O406" t="s">
        <v>24</v>
      </c>
      <c r="P406" t="s">
        <v>29</v>
      </c>
      <c r="Q406" t="s">
        <v>50</v>
      </c>
    </row>
    <row r="407" spans="1:17" x14ac:dyDescent="0.35">
      <c r="A407">
        <v>418</v>
      </c>
      <c r="B407">
        <v>3</v>
      </c>
      <c r="C407">
        <v>4</v>
      </c>
      <c r="D407">
        <v>8</v>
      </c>
      <c r="E407" s="1">
        <v>46026.666666666657</v>
      </c>
      <c r="F407">
        <v>1</v>
      </c>
      <c r="G407">
        <v>9</v>
      </c>
      <c r="H407" t="s">
        <v>22</v>
      </c>
      <c r="I407" t="s">
        <v>18</v>
      </c>
      <c r="J407">
        <v>9</v>
      </c>
      <c r="K407">
        <v>2026</v>
      </c>
      <c r="L407">
        <v>1</v>
      </c>
      <c r="M407">
        <v>16</v>
      </c>
      <c r="N407" t="s">
        <v>28</v>
      </c>
      <c r="O407" t="s">
        <v>24</v>
      </c>
      <c r="P407" t="s">
        <v>55</v>
      </c>
      <c r="Q407" t="s">
        <v>46</v>
      </c>
    </row>
    <row r="408" spans="1:17" x14ac:dyDescent="0.35">
      <c r="A408">
        <v>419</v>
      </c>
      <c r="B408">
        <v>12</v>
      </c>
      <c r="C408">
        <v>4</v>
      </c>
      <c r="D408">
        <v>4</v>
      </c>
      <c r="E408" s="1">
        <v>46337.666666666657</v>
      </c>
      <c r="F408">
        <v>4</v>
      </c>
      <c r="G408">
        <v>32</v>
      </c>
      <c r="H408" t="s">
        <v>22</v>
      </c>
      <c r="I408" t="s">
        <v>27</v>
      </c>
      <c r="J408">
        <v>8</v>
      </c>
      <c r="K408">
        <v>2026</v>
      </c>
      <c r="L408">
        <v>11</v>
      </c>
      <c r="M408">
        <v>16</v>
      </c>
      <c r="N408" t="s">
        <v>19</v>
      </c>
      <c r="O408" t="s">
        <v>13</v>
      </c>
      <c r="P408" t="s">
        <v>55</v>
      </c>
      <c r="Q408" t="s">
        <v>26</v>
      </c>
    </row>
    <row r="409" spans="1:17" x14ac:dyDescent="0.35">
      <c r="A409">
        <v>420</v>
      </c>
      <c r="B409">
        <v>17</v>
      </c>
      <c r="C409">
        <v>11</v>
      </c>
      <c r="D409">
        <v>10</v>
      </c>
      <c r="E409" s="1">
        <v>46127.770833333343</v>
      </c>
      <c r="F409">
        <v>4</v>
      </c>
      <c r="G409">
        <v>32</v>
      </c>
      <c r="H409" t="s">
        <v>22</v>
      </c>
      <c r="I409" t="s">
        <v>18</v>
      </c>
      <c r="J409">
        <v>8</v>
      </c>
      <c r="K409">
        <v>2026</v>
      </c>
      <c r="L409">
        <v>4</v>
      </c>
      <c r="M409">
        <v>18</v>
      </c>
      <c r="N409" t="s">
        <v>19</v>
      </c>
      <c r="O409" t="s">
        <v>13</v>
      </c>
      <c r="P409" t="s">
        <v>59</v>
      </c>
      <c r="Q409" t="s">
        <v>32</v>
      </c>
    </row>
    <row r="410" spans="1:17" x14ac:dyDescent="0.35">
      <c r="A410">
        <v>421</v>
      </c>
      <c r="B410">
        <v>16</v>
      </c>
      <c r="C410">
        <v>3</v>
      </c>
      <c r="D410">
        <v>3</v>
      </c>
      <c r="E410" s="1">
        <v>46099.979166666657</v>
      </c>
      <c r="F410">
        <v>1</v>
      </c>
      <c r="G410">
        <v>9</v>
      </c>
      <c r="H410" t="s">
        <v>22</v>
      </c>
      <c r="I410" t="s">
        <v>18</v>
      </c>
      <c r="J410">
        <v>9</v>
      </c>
      <c r="K410">
        <v>2026</v>
      </c>
      <c r="L410">
        <v>3</v>
      </c>
      <c r="M410">
        <v>23</v>
      </c>
      <c r="N410" t="s">
        <v>19</v>
      </c>
      <c r="O410" t="s">
        <v>13</v>
      </c>
      <c r="P410" t="s">
        <v>20</v>
      </c>
      <c r="Q410" t="s">
        <v>45</v>
      </c>
    </row>
    <row r="411" spans="1:17" x14ac:dyDescent="0.35">
      <c r="A411">
        <v>422</v>
      </c>
      <c r="B411">
        <v>20</v>
      </c>
      <c r="C411">
        <v>11</v>
      </c>
      <c r="D411">
        <v>4</v>
      </c>
      <c r="E411" s="1">
        <v>46050.9375</v>
      </c>
      <c r="F411">
        <v>6</v>
      </c>
      <c r="G411">
        <v>54</v>
      </c>
      <c r="H411" t="s">
        <v>22</v>
      </c>
      <c r="I411" t="s">
        <v>18</v>
      </c>
      <c r="J411">
        <v>9</v>
      </c>
      <c r="K411">
        <v>2026</v>
      </c>
      <c r="L411">
        <v>1</v>
      </c>
      <c r="M411">
        <v>22</v>
      </c>
      <c r="N411" t="s">
        <v>19</v>
      </c>
      <c r="O411" t="s">
        <v>13</v>
      </c>
      <c r="P411" t="s">
        <v>59</v>
      </c>
      <c r="Q411" t="s">
        <v>26</v>
      </c>
    </row>
    <row r="412" spans="1:17" x14ac:dyDescent="0.35">
      <c r="A412">
        <v>423</v>
      </c>
      <c r="B412">
        <v>4</v>
      </c>
      <c r="C412">
        <v>8</v>
      </c>
      <c r="D412">
        <v>10</v>
      </c>
      <c r="E412" s="1">
        <v>46107.666666666657</v>
      </c>
      <c r="F412">
        <v>2</v>
      </c>
      <c r="G412">
        <v>16</v>
      </c>
      <c r="H412" t="s">
        <v>22</v>
      </c>
      <c r="I412" t="s">
        <v>18</v>
      </c>
      <c r="J412">
        <v>8</v>
      </c>
      <c r="K412">
        <v>2026</v>
      </c>
      <c r="L412">
        <v>3</v>
      </c>
      <c r="M412">
        <v>16</v>
      </c>
      <c r="N412" t="s">
        <v>41</v>
      </c>
      <c r="O412" t="s">
        <v>13</v>
      </c>
      <c r="P412" t="s">
        <v>42</v>
      </c>
      <c r="Q412" t="s">
        <v>32</v>
      </c>
    </row>
    <row r="413" spans="1:17" x14ac:dyDescent="0.35">
      <c r="A413">
        <v>424</v>
      </c>
      <c r="B413">
        <v>10</v>
      </c>
      <c r="C413">
        <v>5</v>
      </c>
      <c r="D413">
        <v>5</v>
      </c>
      <c r="E413" s="1">
        <v>46226.645833333343</v>
      </c>
      <c r="F413">
        <v>3</v>
      </c>
      <c r="G413">
        <v>24</v>
      </c>
      <c r="H413" t="s">
        <v>22</v>
      </c>
      <c r="I413" t="s">
        <v>31</v>
      </c>
      <c r="J413">
        <v>8</v>
      </c>
      <c r="K413">
        <v>2026</v>
      </c>
      <c r="L413">
        <v>7</v>
      </c>
      <c r="M413">
        <v>15</v>
      </c>
      <c r="N413" t="s">
        <v>41</v>
      </c>
      <c r="O413" t="s">
        <v>13</v>
      </c>
      <c r="P413" t="s">
        <v>53</v>
      </c>
      <c r="Q413" t="s">
        <v>50</v>
      </c>
    </row>
    <row r="414" spans="1:17" x14ac:dyDescent="0.35">
      <c r="A414">
        <v>425</v>
      </c>
      <c r="B414">
        <v>9</v>
      </c>
      <c r="C414">
        <v>11</v>
      </c>
      <c r="D414">
        <v>4</v>
      </c>
      <c r="E414" s="1">
        <v>46163.895833333343</v>
      </c>
      <c r="F414">
        <v>2</v>
      </c>
      <c r="G414">
        <v>18</v>
      </c>
      <c r="H414" t="s">
        <v>22</v>
      </c>
      <c r="I414" t="s">
        <v>27</v>
      </c>
      <c r="J414">
        <v>9</v>
      </c>
      <c r="K414">
        <v>2026</v>
      </c>
      <c r="L414">
        <v>5</v>
      </c>
      <c r="M414">
        <v>21</v>
      </c>
      <c r="N414" t="s">
        <v>41</v>
      </c>
      <c r="O414" t="s">
        <v>13</v>
      </c>
      <c r="P414" t="s">
        <v>59</v>
      </c>
      <c r="Q414" t="s">
        <v>26</v>
      </c>
    </row>
    <row r="415" spans="1:17" x14ac:dyDescent="0.35">
      <c r="A415">
        <v>426</v>
      </c>
      <c r="B415">
        <v>15</v>
      </c>
      <c r="C415">
        <v>17</v>
      </c>
      <c r="D415">
        <v>7</v>
      </c>
      <c r="E415" s="1">
        <v>46189.8125</v>
      </c>
      <c r="F415">
        <v>4</v>
      </c>
      <c r="G415">
        <v>32</v>
      </c>
      <c r="H415" t="s">
        <v>22</v>
      </c>
      <c r="I415" t="s">
        <v>27</v>
      </c>
      <c r="J415">
        <v>8</v>
      </c>
      <c r="K415">
        <v>2026</v>
      </c>
      <c r="L415">
        <v>6</v>
      </c>
      <c r="M415">
        <v>19</v>
      </c>
      <c r="N415" t="s">
        <v>37</v>
      </c>
      <c r="O415" t="s">
        <v>13</v>
      </c>
      <c r="P415" t="s">
        <v>56</v>
      </c>
      <c r="Q415" t="s">
        <v>35</v>
      </c>
    </row>
    <row r="416" spans="1:17" x14ac:dyDescent="0.35">
      <c r="A416">
        <v>427</v>
      </c>
      <c r="B416">
        <v>2</v>
      </c>
      <c r="C416">
        <v>17</v>
      </c>
      <c r="D416">
        <v>4</v>
      </c>
      <c r="E416" s="1">
        <v>46036.645833333343</v>
      </c>
      <c r="F416">
        <v>6</v>
      </c>
      <c r="G416">
        <v>48</v>
      </c>
      <c r="H416" t="s">
        <v>22</v>
      </c>
      <c r="I416" t="s">
        <v>27</v>
      </c>
      <c r="J416">
        <v>8</v>
      </c>
      <c r="K416">
        <v>2026</v>
      </c>
      <c r="L416">
        <v>1</v>
      </c>
      <c r="M416">
        <v>15</v>
      </c>
      <c r="N416" t="s">
        <v>19</v>
      </c>
      <c r="O416" t="s">
        <v>13</v>
      </c>
      <c r="P416" t="s">
        <v>56</v>
      </c>
      <c r="Q416" t="s">
        <v>26</v>
      </c>
    </row>
    <row r="417" spans="1:17" x14ac:dyDescent="0.35">
      <c r="A417">
        <v>428</v>
      </c>
      <c r="B417">
        <v>2</v>
      </c>
      <c r="C417">
        <v>19</v>
      </c>
      <c r="D417">
        <v>2</v>
      </c>
      <c r="E417" s="1">
        <v>46175.8125</v>
      </c>
      <c r="F417">
        <v>6</v>
      </c>
      <c r="G417">
        <v>48</v>
      </c>
      <c r="H417" t="s">
        <v>22</v>
      </c>
      <c r="I417" t="s">
        <v>18</v>
      </c>
      <c r="J417">
        <v>8</v>
      </c>
      <c r="K417">
        <v>2026</v>
      </c>
      <c r="L417">
        <v>6</v>
      </c>
      <c r="M417">
        <v>19</v>
      </c>
      <c r="N417" t="s">
        <v>37</v>
      </c>
      <c r="O417" t="s">
        <v>13</v>
      </c>
      <c r="P417" t="s">
        <v>58</v>
      </c>
      <c r="Q417" t="s">
        <v>54</v>
      </c>
    </row>
    <row r="418" spans="1:17" x14ac:dyDescent="0.35">
      <c r="A418">
        <v>429</v>
      </c>
      <c r="B418">
        <v>19</v>
      </c>
      <c r="C418">
        <v>5</v>
      </c>
      <c r="D418">
        <v>6</v>
      </c>
      <c r="E418" s="1">
        <v>46332.604166666657</v>
      </c>
      <c r="F418">
        <v>5</v>
      </c>
      <c r="G418">
        <v>40</v>
      </c>
      <c r="H418" t="s">
        <v>22</v>
      </c>
      <c r="I418" t="s">
        <v>27</v>
      </c>
      <c r="J418">
        <v>8</v>
      </c>
      <c r="K418">
        <v>2026</v>
      </c>
      <c r="L418">
        <v>11</v>
      </c>
      <c r="M418">
        <v>14</v>
      </c>
      <c r="N418" t="s">
        <v>43</v>
      </c>
      <c r="O418" t="s">
        <v>13</v>
      </c>
      <c r="P418" t="s">
        <v>53</v>
      </c>
      <c r="Q418" t="s">
        <v>21</v>
      </c>
    </row>
    <row r="419" spans="1:17" x14ac:dyDescent="0.35">
      <c r="A419">
        <v>430</v>
      </c>
      <c r="B419">
        <v>10</v>
      </c>
      <c r="C419">
        <v>5</v>
      </c>
      <c r="D419">
        <v>10</v>
      </c>
      <c r="E419" s="1">
        <v>46080.958333333343</v>
      </c>
      <c r="F419">
        <v>5</v>
      </c>
      <c r="G419">
        <v>45</v>
      </c>
      <c r="H419" t="s">
        <v>17</v>
      </c>
      <c r="I419" t="s">
        <v>31</v>
      </c>
      <c r="J419">
        <v>9</v>
      </c>
      <c r="K419">
        <v>2026</v>
      </c>
      <c r="L419">
        <v>2</v>
      </c>
      <c r="M419">
        <v>23</v>
      </c>
      <c r="N419" t="s">
        <v>43</v>
      </c>
      <c r="O419" t="s">
        <v>13</v>
      </c>
      <c r="P419" t="s">
        <v>53</v>
      </c>
      <c r="Q419" t="s">
        <v>32</v>
      </c>
    </row>
    <row r="420" spans="1:17" x14ac:dyDescent="0.35">
      <c r="A420">
        <v>431</v>
      </c>
      <c r="B420">
        <v>18</v>
      </c>
      <c r="C420">
        <v>7</v>
      </c>
      <c r="D420">
        <v>3</v>
      </c>
      <c r="E420" s="1">
        <v>46240.791666666657</v>
      </c>
      <c r="F420">
        <v>1</v>
      </c>
      <c r="G420">
        <v>8</v>
      </c>
      <c r="H420" t="s">
        <v>22</v>
      </c>
      <c r="I420" t="s">
        <v>18</v>
      </c>
      <c r="J420">
        <v>8</v>
      </c>
      <c r="K420">
        <v>2026</v>
      </c>
      <c r="L420">
        <v>8</v>
      </c>
      <c r="M420">
        <v>19</v>
      </c>
      <c r="N420" t="s">
        <v>41</v>
      </c>
      <c r="O420" t="s">
        <v>13</v>
      </c>
      <c r="P420" t="s">
        <v>34</v>
      </c>
      <c r="Q420" t="s">
        <v>45</v>
      </c>
    </row>
    <row r="421" spans="1:17" x14ac:dyDescent="0.35">
      <c r="A421">
        <v>432</v>
      </c>
      <c r="B421">
        <v>8</v>
      </c>
      <c r="C421">
        <v>7</v>
      </c>
      <c r="D421">
        <v>6</v>
      </c>
      <c r="E421" s="1">
        <v>46313.9375</v>
      </c>
      <c r="F421">
        <v>3</v>
      </c>
      <c r="G421">
        <v>30</v>
      </c>
      <c r="H421" t="s">
        <v>22</v>
      </c>
      <c r="I421" t="s">
        <v>31</v>
      </c>
      <c r="J421">
        <v>10</v>
      </c>
      <c r="K421">
        <v>2026</v>
      </c>
      <c r="L421">
        <v>10</v>
      </c>
      <c r="M421">
        <v>22</v>
      </c>
      <c r="N421" t="s">
        <v>28</v>
      </c>
      <c r="O421" t="s">
        <v>24</v>
      </c>
      <c r="P421" t="s">
        <v>34</v>
      </c>
      <c r="Q421" t="s">
        <v>21</v>
      </c>
    </row>
    <row r="422" spans="1:17" x14ac:dyDescent="0.35">
      <c r="A422">
        <v>433</v>
      </c>
      <c r="B422">
        <v>15</v>
      </c>
      <c r="C422">
        <v>13</v>
      </c>
      <c r="D422">
        <v>8</v>
      </c>
      <c r="E422" s="1">
        <v>46219.9375</v>
      </c>
      <c r="F422">
        <v>6</v>
      </c>
      <c r="G422">
        <v>54</v>
      </c>
      <c r="H422" t="s">
        <v>22</v>
      </c>
      <c r="I422" t="s">
        <v>31</v>
      </c>
      <c r="J422">
        <v>9</v>
      </c>
      <c r="K422">
        <v>2026</v>
      </c>
      <c r="L422">
        <v>7</v>
      </c>
      <c r="M422">
        <v>22</v>
      </c>
      <c r="N422" t="s">
        <v>41</v>
      </c>
      <c r="O422" t="s">
        <v>13</v>
      </c>
      <c r="P422" t="s">
        <v>49</v>
      </c>
      <c r="Q422" t="s">
        <v>46</v>
      </c>
    </row>
    <row r="423" spans="1:17" x14ac:dyDescent="0.35">
      <c r="A423">
        <v>434</v>
      </c>
      <c r="B423">
        <v>14</v>
      </c>
      <c r="C423">
        <v>4</v>
      </c>
      <c r="D423">
        <v>10</v>
      </c>
      <c r="E423" s="1">
        <v>46352.666666666657</v>
      </c>
      <c r="F423">
        <v>1</v>
      </c>
      <c r="G423">
        <v>8</v>
      </c>
      <c r="H423" t="s">
        <v>22</v>
      </c>
      <c r="I423" t="s">
        <v>31</v>
      </c>
      <c r="J423">
        <v>8</v>
      </c>
      <c r="K423">
        <v>2026</v>
      </c>
      <c r="L423">
        <v>11</v>
      </c>
      <c r="M423">
        <v>16</v>
      </c>
      <c r="N423" t="s">
        <v>41</v>
      </c>
      <c r="O423" t="s">
        <v>13</v>
      </c>
      <c r="P423" t="s">
        <v>55</v>
      </c>
      <c r="Q423" t="s">
        <v>32</v>
      </c>
    </row>
    <row r="424" spans="1:17" x14ac:dyDescent="0.35">
      <c r="A424">
        <v>435</v>
      </c>
      <c r="B424">
        <v>9</v>
      </c>
      <c r="C424">
        <v>17</v>
      </c>
      <c r="D424">
        <v>9</v>
      </c>
      <c r="E424" s="1">
        <v>46109.729166666657</v>
      </c>
      <c r="F424">
        <v>6</v>
      </c>
      <c r="G424">
        <v>54</v>
      </c>
      <c r="H424" t="s">
        <v>17</v>
      </c>
      <c r="I424" t="s">
        <v>27</v>
      </c>
      <c r="J424">
        <v>9</v>
      </c>
      <c r="K424">
        <v>2026</v>
      </c>
      <c r="L424">
        <v>3</v>
      </c>
      <c r="M424">
        <v>17</v>
      </c>
      <c r="N424" t="s">
        <v>23</v>
      </c>
      <c r="O424" t="s">
        <v>24</v>
      </c>
      <c r="P424" t="s">
        <v>56</v>
      </c>
      <c r="Q424" t="s">
        <v>30</v>
      </c>
    </row>
    <row r="425" spans="1:17" x14ac:dyDescent="0.35">
      <c r="A425">
        <v>436</v>
      </c>
      <c r="B425">
        <v>1</v>
      </c>
      <c r="C425">
        <v>8</v>
      </c>
      <c r="D425">
        <v>8</v>
      </c>
      <c r="E425" s="1">
        <v>46366.833333333343</v>
      </c>
      <c r="F425">
        <v>2</v>
      </c>
      <c r="G425">
        <v>16</v>
      </c>
      <c r="H425" t="s">
        <v>22</v>
      </c>
      <c r="I425" t="s">
        <v>27</v>
      </c>
      <c r="J425">
        <v>8</v>
      </c>
      <c r="K425">
        <v>2026</v>
      </c>
      <c r="L425">
        <v>12</v>
      </c>
      <c r="M425">
        <v>20</v>
      </c>
      <c r="N425" t="s">
        <v>41</v>
      </c>
      <c r="O425" t="s">
        <v>13</v>
      </c>
      <c r="P425" t="s">
        <v>42</v>
      </c>
      <c r="Q425" t="s">
        <v>46</v>
      </c>
    </row>
    <row r="426" spans="1:17" x14ac:dyDescent="0.35">
      <c r="A426">
        <v>437</v>
      </c>
      <c r="B426">
        <v>4</v>
      </c>
      <c r="C426">
        <v>7</v>
      </c>
      <c r="D426">
        <v>9</v>
      </c>
      <c r="E426" s="1">
        <v>46130.583333333343</v>
      </c>
      <c r="F426">
        <v>2</v>
      </c>
      <c r="G426">
        <v>18</v>
      </c>
      <c r="H426" t="s">
        <v>17</v>
      </c>
      <c r="I426" t="s">
        <v>18</v>
      </c>
      <c r="J426">
        <v>9</v>
      </c>
      <c r="K426">
        <v>2026</v>
      </c>
      <c r="L426">
        <v>4</v>
      </c>
      <c r="M426">
        <v>14</v>
      </c>
      <c r="N426" t="s">
        <v>23</v>
      </c>
      <c r="O426" t="s">
        <v>24</v>
      </c>
      <c r="P426" t="s">
        <v>34</v>
      </c>
      <c r="Q426" t="s">
        <v>30</v>
      </c>
    </row>
    <row r="427" spans="1:17" x14ac:dyDescent="0.35">
      <c r="A427">
        <v>438</v>
      </c>
      <c r="B427">
        <v>13</v>
      </c>
      <c r="C427">
        <v>15</v>
      </c>
      <c r="D427">
        <v>2</v>
      </c>
      <c r="E427" s="1">
        <v>46092.6875</v>
      </c>
      <c r="F427">
        <v>4</v>
      </c>
      <c r="G427">
        <v>32</v>
      </c>
      <c r="H427" t="s">
        <v>22</v>
      </c>
      <c r="I427" t="s">
        <v>27</v>
      </c>
      <c r="J427">
        <v>8</v>
      </c>
      <c r="K427">
        <v>2026</v>
      </c>
      <c r="L427">
        <v>3</v>
      </c>
      <c r="M427">
        <v>16</v>
      </c>
      <c r="N427" t="s">
        <v>19</v>
      </c>
      <c r="O427" t="s">
        <v>13</v>
      </c>
      <c r="P427" t="s">
        <v>38</v>
      </c>
      <c r="Q427" t="s">
        <v>54</v>
      </c>
    </row>
    <row r="428" spans="1:17" x14ac:dyDescent="0.35">
      <c r="A428">
        <v>439</v>
      </c>
      <c r="B428">
        <v>12</v>
      </c>
      <c r="C428">
        <v>3</v>
      </c>
      <c r="D428">
        <v>5</v>
      </c>
      <c r="E428" s="1">
        <v>46046.6875</v>
      </c>
      <c r="F428">
        <v>3</v>
      </c>
      <c r="G428">
        <v>27</v>
      </c>
      <c r="H428" t="s">
        <v>22</v>
      </c>
      <c r="I428" t="s">
        <v>31</v>
      </c>
      <c r="J428">
        <v>9</v>
      </c>
      <c r="K428">
        <v>2026</v>
      </c>
      <c r="L428">
        <v>1</v>
      </c>
      <c r="M428">
        <v>16</v>
      </c>
      <c r="N428" t="s">
        <v>23</v>
      </c>
      <c r="O428" t="s">
        <v>24</v>
      </c>
      <c r="P428" t="s">
        <v>20</v>
      </c>
      <c r="Q428" t="s">
        <v>50</v>
      </c>
    </row>
    <row r="429" spans="1:17" x14ac:dyDescent="0.35">
      <c r="A429">
        <v>440</v>
      </c>
      <c r="B429">
        <v>4</v>
      </c>
      <c r="C429">
        <v>14</v>
      </c>
      <c r="D429">
        <v>2</v>
      </c>
      <c r="E429" s="1">
        <v>46214.895833333343</v>
      </c>
      <c r="F429">
        <v>6</v>
      </c>
      <c r="G429">
        <v>60</v>
      </c>
      <c r="H429" t="s">
        <v>17</v>
      </c>
      <c r="I429" t="s">
        <v>31</v>
      </c>
      <c r="J429">
        <v>10</v>
      </c>
      <c r="K429">
        <v>2026</v>
      </c>
      <c r="L429">
        <v>7</v>
      </c>
      <c r="M429">
        <v>21</v>
      </c>
      <c r="N429" t="s">
        <v>23</v>
      </c>
      <c r="O429" t="s">
        <v>24</v>
      </c>
      <c r="P429" t="s">
        <v>29</v>
      </c>
      <c r="Q429" t="s">
        <v>54</v>
      </c>
    </row>
    <row r="430" spans="1:17" x14ac:dyDescent="0.35">
      <c r="A430">
        <v>441</v>
      </c>
      <c r="B430">
        <v>15</v>
      </c>
      <c r="C430">
        <v>20</v>
      </c>
      <c r="D430">
        <v>4</v>
      </c>
      <c r="E430" s="1">
        <v>46166.729166666657</v>
      </c>
      <c r="F430">
        <v>2</v>
      </c>
      <c r="G430">
        <v>18</v>
      </c>
      <c r="H430" t="s">
        <v>22</v>
      </c>
      <c r="I430" t="s">
        <v>31</v>
      </c>
      <c r="J430">
        <v>9</v>
      </c>
      <c r="K430">
        <v>2026</v>
      </c>
      <c r="L430">
        <v>5</v>
      </c>
      <c r="M430">
        <v>17</v>
      </c>
      <c r="N430" t="s">
        <v>28</v>
      </c>
      <c r="O430" t="s">
        <v>24</v>
      </c>
      <c r="P430" t="s">
        <v>36</v>
      </c>
      <c r="Q430" t="s">
        <v>26</v>
      </c>
    </row>
    <row r="431" spans="1:17" x14ac:dyDescent="0.35">
      <c r="A431">
        <v>442</v>
      </c>
      <c r="B431">
        <v>19</v>
      </c>
      <c r="C431">
        <v>6</v>
      </c>
      <c r="D431">
        <v>6</v>
      </c>
      <c r="E431" s="1">
        <v>46035.666666666657</v>
      </c>
      <c r="F431">
        <v>2</v>
      </c>
      <c r="G431">
        <v>16</v>
      </c>
      <c r="H431" t="s">
        <v>22</v>
      </c>
      <c r="I431" t="s">
        <v>31</v>
      </c>
      <c r="J431">
        <v>8</v>
      </c>
      <c r="K431">
        <v>2026</v>
      </c>
      <c r="L431">
        <v>1</v>
      </c>
      <c r="M431">
        <v>16</v>
      </c>
      <c r="N431" t="s">
        <v>37</v>
      </c>
      <c r="O431" t="s">
        <v>13</v>
      </c>
      <c r="P431" t="s">
        <v>52</v>
      </c>
      <c r="Q431" t="s">
        <v>21</v>
      </c>
    </row>
    <row r="432" spans="1:17" x14ac:dyDescent="0.35">
      <c r="A432">
        <v>443</v>
      </c>
      <c r="B432">
        <v>18</v>
      </c>
      <c r="C432">
        <v>19</v>
      </c>
      <c r="D432">
        <v>1</v>
      </c>
      <c r="E432" s="1">
        <v>46088.854166666657</v>
      </c>
      <c r="F432">
        <v>2</v>
      </c>
      <c r="G432">
        <v>18</v>
      </c>
      <c r="H432" t="s">
        <v>22</v>
      </c>
      <c r="I432" t="s">
        <v>27</v>
      </c>
      <c r="J432">
        <v>9</v>
      </c>
      <c r="K432">
        <v>2026</v>
      </c>
      <c r="L432">
        <v>3</v>
      </c>
      <c r="M432">
        <v>20</v>
      </c>
      <c r="N432" t="s">
        <v>23</v>
      </c>
      <c r="O432" t="s">
        <v>24</v>
      </c>
      <c r="P432" t="s">
        <v>58</v>
      </c>
      <c r="Q432" t="s">
        <v>40</v>
      </c>
    </row>
    <row r="433" spans="1:17" x14ac:dyDescent="0.35">
      <c r="A433">
        <v>444</v>
      </c>
      <c r="B433">
        <v>16</v>
      </c>
      <c r="C433">
        <v>15</v>
      </c>
      <c r="D433">
        <v>2</v>
      </c>
      <c r="E433" s="1">
        <v>46387.729166666657</v>
      </c>
      <c r="F433">
        <v>2</v>
      </c>
      <c r="G433">
        <v>16</v>
      </c>
      <c r="H433" t="s">
        <v>22</v>
      </c>
      <c r="I433" t="s">
        <v>27</v>
      </c>
      <c r="J433">
        <v>8</v>
      </c>
      <c r="K433">
        <v>2026</v>
      </c>
      <c r="L433">
        <v>12</v>
      </c>
      <c r="M433">
        <v>17</v>
      </c>
      <c r="N433" t="s">
        <v>41</v>
      </c>
      <c r="O433" t="s">
        <v>13</v>
      </c>
      <c r="P433" t="s">
        <v>38</v>
      </c>
      <c r="Q433" t="s">
        <v>54</v>
      </c>
    </row>
    <row r="434" spans="1:17" x14ac:dyDescent="0.35">
      <c r="A434">
        <v>445</v>
      </c>
      <c r="B434">
        <v>16</v>
      </c>
      <c r="C434">
        <v>18</v>
      </c>
      <c r="D434">
        <v>10</v>
      </c>
      <c r="E434" s="1">
        <v>46211.625</v>
      </c>
      <c r="F434">
        <v>2</v>
      </c>
      <c r="G434">
        <v>16</v>
      </c>
      <c r="H434" t="s">
        <v>22</v>
      </c>
      <c r="I434" t="s">
        <v>18</v>
      </c>
      <c r="J434">
        <v>8</v>
      </c>
      <c r="K434">
        <v>2026</v>
      </c>
      <c r="L434">
        <v>7</v>
      </c>
      <c r="M434">
        <v>15</v>
      </c>
      <c r="N434" t="s">
        <v>19</v>
      </c>
      <c r="O434" t="s">
        <v>13</v>
      </c>
      <c r="P434" t="s">
        <v>47</v>
      </c>
      <c r="Q434" t="s">
        <v>32</v>
      </c>
    </row>
    <row r="435" spans="1:17" x14ac:dyDescent="0.35">
      <c r="A435">
        <v>446</v>
      </c>
      <c r="B435">
        <v>16</v>
      </c>
      <c r="C435">
        <v>1</v>
      </c>
      <c r="D435">
        <v>6</v>
      </c>
      <c r="E435" s="1">
        <v>46121.916666666657</v>
      </c>
      <c r="F435">
        <v>2</v>
      </c>
      <c r="G435">
        <v>18</v>
      </c>
      <c r="H435" t="s">
        <v>22</v>
      </c>
      <c r="I435" t="s">
        <v>27</v>
      </c>
      <c r="J435">
        <v>9</v>
      </c>
      <c r="K435">
        <v>2026</v>
      </c>
      <c r="L435">
        <v>4</v>
      </c>
      <c r="M435">
        <v>22</v>
      </c>
      <c r="N435" t="s">
        <v>41</v>
      </c>
      <c r="O435" t="s">
        <v>13</v>
      </c>
      <c r="P435" t="s">
        <v>39</v>
      </c>
      <c r="Q435" t="s">
        <v>21</v>
      </c>
    </row>
    <row r="436" spans="1:17" x14ac:dyDescent="0.35">
      <c r="A436">
        <v>447</v>
      </c>
      <c r="B436">
        <v>5</v>
      </c>
      <c r="C436">
        <v>18</v>
      </c>
      <c r="D436">
        <v>9</v>
      </c>
      <c r="E436" s="1">
        <v>46257.8125</v>
      </c>
      <c r="F436">
        <v>5</v>
      </c>
      <c r="G436">
        <v>45</v>
      </c>
      <c r="H436" t="s">
        <v>17</v>
      </c>
      <c r="I436" t="s">
        <v>18</v>
      </c>
      <c r="J436">
        <v>9</v>
      </c>
      <c r="K436">
        <v>2026</v>
      </c>
      <c r="L436">
        <v>8</v>
      </c>
      <c r="M436">
        <v>19</v>
      </c>
      <c r="N436" t="s">
        <v>28</v>
      </c>
      <c r="O436" t="s">
        <v>24</v>
      </c>
      <c r="P436" t="s">
        <v>47</v>
      </c>
      <c r="Q436" t="s">
        <v>30</v>
      </c>
    </row>
    <row r="437" spans="1:17" x14ac:dyDescent="0.35">
      <c r="A437">
        <v>448</v>
      </c>
      <c r="B437">
        <v>5</v>
      </c>
      <c r="C437">
        <v>6</v>
      </c>
      <c r="D437">
        <v>5</v>
      </c>
      <c r="E437" s="1">
        <v>46072.770833333343</v>
      </c>
      <c r="F437">
        <v>5</v>
      </c>
      <c r="G437">
        <v>40</v>
      </c>
      <c r="H437" t="s">
        <v>22</v>
      </c>
      <c r="I437" t="s">
        <v>27</v>
      </c>
      <c r="J437">
        <v>8</v>
      </c>
      <c r="K437">
        <v>2026</v>
      </c>
      <c r="L437">
        <v>2</v>
      </c>
      <c r="M437">
        <v>18</v>
      </c>
      <c r="N437" t="s">
        <v>41</v>
      </c>
      <c r="O437" t="s">
        <v>13</v>
      </c>
      <c r="P437" t="s">
        <v>52</v>
      </c>
      <c r="Q437" t="s">
        <v>50</v>
      </c>
    </row>
    <row r="438" spans="1:17" x14ac:dyDescent="0.35">
      <c r="A438">
        <v>449</v>
      </c>
      <c r="B438">
        <v>2</v>
      </c>
      <c r="C438">
        <v>5</v>
      </c>
      <c r="D438">
        <v>4</v>
      </c>
      <c r="E438" s="1">
        <v>46321.854166666657</v>
      </c>
      <c r="F438">
        <v>3</v>
      </c>
      <c r="G438">
        <v>24</v>
      </c>
      <c r="H438" t="s">
        <v>22</v>
      </c>
      <c r="I438" t="s">
        <v>18</v>
      </c>
      <c r="J438">
        <v>8</v>
      </c>
      <c r="K438">
        <v>2026</v>
      </c>
      <c r="L438">
        <v>10</v>
      </c>
      <c r="M438">
        <v>20</v>
      </c>
      <c r="N438" t="s">
        <v>33</v>
      </c>
      <c r="O438" t="s">
        <v>13</v>
      </c>
      <c r="P438" t="s">
        <v>53</v>
      </c>
      <c r="Q438" t="s">
        <v>26</v>
      </c>
    </row>
    <row r="439" spans="1:17" x14ac:dyDescent="0.35">
      <c r="A439">
        <v>450</v>
      </c>
      <c r="B439">
        <v>5</v>
      </c>
      <c r="C439">
        <v>9</v>
      </c>
      <c r="D439">
        <v>10</v>
      </c>
      <c r="E439" s="1">
        <v>46285.958333333343</v>
      </c>
      <c r="F439">
        <v>6</v>
      </c>
      <c r="G439">
        <v>60</v>
      </c>
      <c r="H439" t="s">
        <v>22</v>
      </c>
      <c r="I439" t="s">
        <v>31</v>
      </c>
      <c r="J439">
        <v>10</v>
      </c>
      <c r="K439">
        <v>2026</v>
      </c>
      <c r="L439">
        <v>9</v>
      </c>
      <c r="M439">
        <v>23</v>
      </c>
      <c r="N439" t="s">
        <v>28</v>
      </c>
      <c r="O439" t="s">
        <v>24</v>
      </c>
      <c r="P439" t="s">
        <v>48</v>
      </c>
      <c r="Q439" t="s">
        <v>32</v>
      </c>
    </row>
    <row r="440" spans="1:17" x14ac:dyDescent="0.35">
      <c r="A440">
        <v>451</v>
      </c>
      <c r="B440">
        <v>20</v>
      </c>
      <c r="C440">
        <v>17</v>
      </c>
      <c r="D440">
        <v>9</v>
      </c>
      <c r="E440" s="1">
        <v>46167.645833333343</v>
      </c>
      <c r="F440">
        <v>5</v>
      </c>
      <c r="G440">
        <v>40</v>
      </c>
      <c r="H440" t="s">
        <v>22</v>
      </c>
      <c r="I440" t="s">
        <v>31</v>
      </c>
      <c r="J440">
        <v>8</v>
      </c>
      <c r="K440">
        <v>2026</v>
      </c>
      <c r="L440">
        <v>5</v>
      </c>
      <c r="M440">
        <v>15</v>
      </c>
      <c r="N440" t="s">
        <v>33</v>
      </c>
      <c r="O440" t="s">
        <v>13</v>
      </c>
      <c r="P440" t="s">
        <v>56</v>
      </c>
      <c r="Q440" t="s">
        <v>30</v>
      </c>
    </row>
    <row r="441" spans="1:17" x14ac:dyDescent="0.35">
      <c r="A441">
        <v>452</v>
      </c>
      <c r="B441">
        <v>10</v>
      </c>
      <c r="C441">
        <v>14</v>
      </c>
      <c r="D441">
        <v>6</v>
      </c>
      <c r="E441" s="1">
        <v>46232.854166666657</v>
      </c>
      <c r="F441">
        <v>6</v>
      </c>
      <c r="G441">
        <v>48</v>
      </c>
      <c r="H441" t="s">
        <v>22</v>
      </c>
      <c r="I441" t="s">
        <v>27</v>
      </c>
      <c r="J441">
        <v>8</v>
      </c>
      <c r="K441">
        <v>2026</v>
      </c>
      <c r="L441">
        <v>7</v>
      </c>
      <c r="M441">
        <v>20</v>
      </c>
      <c r="N441" t="s">
        <v>19</v>
      </c>
      <c r="O441" t="s">
        <v>13</v>
      </c>
      <c r="P441" t="s">
        <v>29</v>
      </c>
      <c r="Q441" t="s">
        <v>21</v>
      </c>
    </row>
    <row r="442" spans="1:17" x14ac:dyDescent="0.35">
      <c r="A442">
        <v>453</v>
      </c>
      <c r="B442">
        <v>10</v>
      </c>
      <c r="C442">
        <v>1</v>
      </c>
      <c r="D442">
        <v>3</v>
      </c>
      <c r="E442" s="1">
        <v>46181.9375</v>
      </c>
      <c r="F442">
        <v>6</v>
      </c>
      <c r="G442">
        <v>54</v>
      </c>
      <c r="H442" t="s">
        <v>22</v>
      </c>
      <c r="I442" t="s">
        <v>18</v>
      </c>
      <c r="J442">
        <v>9</v>
      </c>
      <c r="K442">
        <v>2026</v>
      </c>
      <c r="L442">
        <v>6</v>
      </c>
      <c r="M442">
        <v>22</v>
      </c>
      <c r="N442" t="s">
        <v>33</v>
      </c>
      <c r="O442" t="s">
        <v>13</v>
      </c>
      <c r="P442" t="s">
        <v>39</v>
      </c>
      <c r="Q442" t="s">
        <v>45</v>
      </c>
    </row>
    <row r="443" spans="1:17" x14ac:dyDescent="0.35">
      <c r="A443">
        <v>454</v>
      </c>
      <c r="B443">
        <v>13</v>
      </c>
      <c r="C443">
        <v>17</v>
      </c>
      <c r="D443">
        <v>8</v>
      </c>
      <c r="E443" s="1">
        <v>46274.604166666657</v>
      </c>
      <c r="F443">
        <v>2</v>
      </c>
      <c r="G443">
        <v>16</v>
      </c>
      <c r="H443" t="s">
        <v>22</v>
      </c>
      <c r="I443" t="s">
        <v>18</v>
      </c>
      <c r="J443">
        <v>8</v>
      </c>
      <c r="K443">
        <v>2026</v>
      </c>
      <c r="L443">
        <v>9</v>
      </c>
      <c r="M443">
        <v>14</v>
      </c>
      <c r="N443" t="s">
        <v>19</v>
      </c>
      <c r="O443" t="s">
        <v>13</v>
      </c>
      <c r="P443" t="s">
        <v>56</v>
      </c>
      <c r="Q443" t="s">
        <v>46</v>
      </c>
    </row>
    <row r="444" spans="1:17" x14ac:dyDescent="0.35">
      <c r="A444">
        <v>455</v>
      </c>
      <c r="B444">
        <v>4</v>
      </c>
      <c r="C444">
        <v>2</v>
      </c>
      <c r="D444">
        <v>2</v>
      </c>
      <c r="E444" s="1">
        <v>46093.625</v>
      </c>
      <c r="F444">
        <v>5</v>
      </c>
      <c r="G444">
        <v>40</v>
      </c>
      <c r="H444" t="s">
        <v>22</v>
      </c>
      <c r="I444" t="s">
        <v>27</v>
      </c>
      <c r="J444">
        <v>8</v>
      </c>
      <c r="K444">
        <v>2026</v>
      </c>
      <c r="L444">
        <v>3</v>
      </c>
      <c r="M444">
        <v>15</v>
      </c>
      <c r="N444" t="s">
        <v>41</v>
      </c>
      <c r="O444" t="s">
        <v>13</v>
      </c>
      <c r="P444" t="s">
        <v>44</v>
      </c>
      <c r="Q444" t="s">
        <v>54</v>
      </c>
    </row>
    <row r="445" spans="1:17" x14ac:dyDescent="0.35">
      <c r="A445">
        <v>456</v>
      </c>
      <c r="B445">
        <v>1</v>
      </c>
      <c r="C445">
        <v>15</v>
      </c>
      <c r="D445">
        <v>3</v>
      </c>
      <c r="E445" s="1">
        <v>46165.916666666657</v>
      </c>
      <c r="F445">
        <v>6</v>
      </c>
      <c r="G445">
        <v>60</v>
      </c>
      <c r="H445" t="s">
        <v>22</v>
      </c>
      <c r="I445" t="s">
        <v>18</v>
      </c>
      <c r="J445">
        <v>10</v>
      </c>
      <c r="K445">
        <v>2026</v>
      </c>
      <c r="L445">
        <v>5</v>
      </c>
      <c r="M445">
        <v>22</v>
      </c>
      <c r="N445" t="s">
        <v>23</v>
      </c>
      <c r="O445" t="s">
        <v>24</v>
      </c>
      <c r="P445" t="s">
        <v>38</v>
      </c>
      <c r="Q445" t="s">
        <v>45</v>
      </c>
    </row>
    <row r="446" spans="1:17" x14ac:dyDescent="0.35">
      <c r="A446">
        <v>457</v>
      </c>
      <c r="B446">
        <v>4</v>
      </c>
      <c r="C446">
        <v>14</v>
      </c>
      <c r="D446">
        <v>2</v>
      </c>
      <c r="E446" s="1">
        <v>46189.6875</v>
      </c>
      <c r="F446">
        <v>5</v>
      </c>
      <c r="G446">
        <v>40</v>
      </c>
      <c r="H446" t="s">
        <v>22</v>
      </c>
      <c r="I446" t="s">
        <v>27</v>
      </c>
      <c r="J446">
        <v>8</v>
      </c>
      <c r="K446">
        <v>2026</v>
      </c>
      <c r="L446">
        <v>6</v>
      </c>
      <c r="M446">
        <v>16</v>
      </c>
      <c r="N446" t="s">
        <v>37</v>
      </c>
      <c r="O446" t="s">
        <v>13</v>
      </c>
      <c r="P446" t="s">
        <v>29</v>
      </c>
      <c r="Q446" t="s">
        <v>54</v>
      </c>
    </row>
    <row r="447" spans="1:17" x14ac:dyDescent="0.35">
      <c r="A447">
        <v>458</v>
      </c>
      <c r="B447">
        <v>5</v>
      </c>
      <c r="C447">
        <v>17</v>
      </c>
      <c r="D447">
        <v>6</v>
      </c>
      <c r="E447" s="1">
        <v>46189.708333333343</v>
      </c>
      <c r="F447">
        <v>2</v>
      </c>
      <c r="G447">
        <v>16</v>
      </c>
      <c r="H447" t="s">
        <v>22</v>
      </c>
      <c r="I447" t="s">
        <v>27</v>
      </c>
      <c r="J447">
        <v>8</v>
      </c>
      <c r="K447">
        <v>2026</v>
      </c>
      <c r="L447">
        <v>6</v>
      </c>
      <c r="M447">
        <v>17</v>
      </c>
      <c r="N447" t="s">
        <v>37</v>
      </c>
      <c r="O447" t="s">
        <v>13</v>
      </c>
      <c r="P447" t="s">
        <v>56</v>
      </c>
      <c r="Q447" t="s">
        <v>21</v>
      </c>
    </row>
    <row r="448" spans="1:17" x14ac:dyDescent="0.35">
      <c r="A448">
        <v>459</v>
      </c>
      <c r="B448">
        <v>14</v>
      </c>
      <c r="C448">
        <v>1</v>
      </c>
      <c r="D448">
        <v>7</v>
      </c>
      <c r="E448" s="1">
        <v>46033.583333333343</v>
      </c>
      <c r="F448">
        <v>2</v>
      </c>
      <c r="G448">
        <v>18</v>
      </c>
      <c r="H448" t="s">
        <v>22</v>
      </c>
      <c r="I448" t="s">
        <v>18</v>
      </c>
      <c r="J448">
        <v>9</v>
      </c>
      <c r="K448">
        <v>2026</v>
      </c>
      <c r="L448">
        <v>1</v>
      </c>
      <c r="M448">
        <v>14</v>
      </c>
      <c r="N448" t="s">
        <v>28</v>
      </c>
      <c r="O448" t="s">
        <v>24</v>
      </c>
      <c r="P448" t="s">
        <v>39</v>
      </c>
      <c r="Q448" t="s">
        <v>35</v>
      </c>
    </row>
    <row r="449" spans="1:17" x14ac:dyDescent="0.35">
      <c r="A449">
        <v>460</v>
      </c>
      <c r="B449">
        <v>14</v>
      </c>
      <c r="C449">
        <v>13</v>
      </c>
      <c r="D449">
        <v>7</v>
      </c>
      <c r="E449" s="1">
        <v>46353.916666666657</v>
      </c>
      <c r="F449">
        <v>5</v>
      </c>
      <c r="G449">
        <v>45</v>
      </c>
      <c r="H449" t="s">
        <v>22</v>
      </c>
      <c r="I449" t="s">
        <v>31</v>
      </c>
      <c r="J449">
        <v>9</v>
      </c>
      <c r="K449">
        <v>2026</v>
      </c>
      <c r="L449">
        <v>11</v>
      </c>
      <c r="M449">
        <v>22</v>
      </c>
      <c r="N449" t="s">
        <v>43</v>
      </c>
      <c r="O449" t="s">
        <v>13</v>
      </c>
      <c r="P449" t="s">
        <v>49</v>
      </c>
      <c r="Q449" t="s">
        <v>35</v>
      </c>
    </row>
    <row r="450" spans="1:17" x14ac:dyDescent="0.35">
      <c r="A450">
        <v>461</v>
      </c>
      <c r="B450">
        <v>19</v>
      </c>
      <c r="C450">
        <v>4</v>
      </c>
      <c r="D450">
        <v>4</v>
      </c>
      <c r="E450" s="1">
        <v>46322.645833333343</v>
      </c>
      <c r="F450">
        <v>6</v>
      </c>
      <c r="G450">
        <v>48</v>
      </c>
      <c r="H450" t="s">
        <v>22</v>
      </c>
      <c r="I450" t="s">
        <v>27</v>
      </c>
      <c r="J450">
        <v>8</v>
      </c>
      <c r="K450">
        <v>2026</v>
      </c>
      <c r="L450">
        <v>10</v>
      </c>
      <c r="M450">
        <v>15</v>
      </c>
      <c r="N450" t="s">
        <v>37</v>
      </c>
      <c r="O450" t="s">
        <v>13</v>
      </c>
      <c r="P450" t="s">
        <v>55</v>
      </c>
      <c r="Q450" t="s">
        <v>26</v>
      </c>
    </row>
    <row r="451" spans="1:17" x14ac:dyDescent="0.35">
      <c r="A451">
        <v>462</v>
      </c>
      <c r="B451">
        <v>19</v>
      </c>
      <c r="C451">
        <v>11</v>
      </c>
      <c r="D451">
        <v>3</v>
      </c>
      <c r="E451" s="1">
        <v>46386.708333333343</v>
      </c>
      <c r="F451">
        <v>4</v>
      </c>
      <c r="G451">
        <v>32</v>
      </c>
      <c r="H451" t="s">
        <v>17</v>
      </c>
      <c r="I451" t="s">
        <v>31</v>
      </c>
      <c r="J451">
        <v>8</v>
      </c>
      <c r="K451">
        <v>2026</v>
      </c>
      <c r="L451">
        <v>12</v>
      </c>
      <c r="M451">
        <v>17</v>
      </c>
      <c r="N451" t="s">
        <v>19</v>
      </c>
      <c r="O451" t="s">
        <v>13</v>
      </c>
      <c r="P451" t="s">
        <v>59</v>
      </c>
      <c r="Q451" t="s">
        <v>45</v>
      </c>
    </row>
    <row r="452" spans="1:17" x14ac:dyDescent="0.35">
      <c r="A452">
        <v>463</v>
      </c>
      <c r="B452">
        <v>7</v>
      </c>
      <c r="C452">
        <v>20</v>
      </c>
      <c r="D452">
        <v>10</v>
      </c>
      <c r="E452" s="1">
        <v>46030.791666666657</v>
      </c>
      <c r="F452">
        <v>1</v>
      </c>
      <c r="G452">
        <v>8</v>
      </c>
      <c r="H452" t="s">
        <v>22</v>
      </c>
      <c r="I452" t="s">
        <v>18</v>
      </c>
      <c r="J452">
        <v>8</v>
      </c>
      <c r="K452">
        <v>2026</v>
      </c>
      <c r="L452">
        <v>1</v>
      </c>
      <c r="M452">
        <v>19</v>
      </c>
      <c r="N452" t="s">
        <v>41</v>
      </c>
      <c r="O452" t="s">
        <v>13</v>
      </c>
      <c r="P452" t="s">
        <v>36</v>
      </c>
      <c r="Q452" t="s">
        <v>32</v>
      </c>
    </row>
    <row r="453" spans="1:17" x14ac:dyDescent="0.35">
      <c r="A453">
        <v>464</v>
      </c>
      <c r="B453">
        <v>10</v>
      </c>
      <c r="C453">
        <v>11</v>
      </c>
      <c r="D453">
        <v>8</v>
      </c>
      <c r="E453" s="1">
        <v>46114.875</v>
      </c>
      <c r="F453">
        <v>6</v>
      </c>
      <c r="G453">
        <v>54</v>
      </c>
      <c r="H453" t="s">
        <v>22</v>
      </c>
      <c r="I453" t="s">
        <v>18</v>
      </c>
      <c r="J453">
        <v>9</v>
      </c>
      <c r="K453">
        <v>2026</v>
      </c>
      <c r="L453">
        <v>4</v>
      </c>
      <c r="M453">
        <v>21</v>
      </c>
      <c r="N453" t="s">
        <v>41</v>
      </c>
      <c r="O453" t="s">
        <v>13</v>
      </c>
      <c r="P453" t="s">
        <v>59</v>
      </c>
      <c r="Q453" t="s">
        <v>46</v>
      </c>
    </row>
    <row r="454" spans="1:17" x14ac:dyDescent="0.35">
      <c r="A454">
        <v>465</v>
      </c>
      <c r="B454">
        <v>16</v>
      </c>
      <c r="C454">
        <v>8</v>
      </c>
      <c r="D454">
        <v>4</v>
      </c>
      <c r="E454" s="1">
        <v>46194.854166666657</v>
      </c>
      <c r="F454">
        <v>2</v>
      </c>
      <c r="G454">
        <v>18</v>
      </c>
      <c r="H454" t="s">
        <v>22</v>
      </c>
      <c r="I454" t="s">
        <v>27</v>
      </c>
      <c r="J454">
        <v>9</v>
      </c>
      <c r="K454">
        <v>2026</v>
      </c>
      <c r="L454">
        <v>6</v>
      </c>
      <c r="M454">
        <v>20</v>
      </c>
      <c r="N454" t="s">
        <v>28</v>
      </c>
      <c r="O454" t="s">
        <v>24</v>
      </c>
      <c r="P454" t="s">
        <v>42</v>
      </c>
      <c r="Q454" t="s">
        <v>26</v>
      </c>
    </row>
    <row r="455" spans="1:17" x14ac:dyDescent="0.35">
      <c r="A455">
        <v>466</v>
      </c>
      <c r="B455">
        <v>20</v>
      </c>
      <c r="C455">
        <v>16</v>
      </c>
      <c r="D455">
        <v>7</v>
      </c>
      <c r="E455" s="1">
        <v>46044.645833333343</v>
      </c>
      <c r="F455">
        <v>1</v>
      </c>
      <c r="G455">
        <v>8</v>
      </c>
      <c r="H455" t="s">
        <v>22</v>
      </c>
      <c r="I455" t="s">
        <v>27</v>
      </c>
      <c r="J455">
        <v>8</v>
      </c>
      <c r="K455">
        <v>2026</v>
      </c>
      <c r="L455">
        <v>1</v>
      </c>
      <c r="M455">
        <v>15</v>
      </c>
      <c r="N455" t="s">
        <v>41</v>
      </c>
      <c r="O455" t="s">
        <v>13</v>
      </c>
      <c r="P455" t="s">
        <v>51</v>
      </c>
      <c r="Q455" t="s">
        <v>35</v>
      </c>
    </row>
    <row r="456" spans="1:17" x14ac:dyDescent="0.35">
      <c r="A456">
        <v>467</v>
      </c>
      <c r="B456">
        <v>10</v>
      </c>
      <c r="C456">
        <v>6</v>
      </c>
      <c r="D456">
        <v>3</v>
      </c>
      <c r="E456" s="1">
        <v>46274.708333333343</v>
      </c>
      <c r="F456">
        <v>6</v>
      </c>
      <c r="G456">
        <v>48</v>
      </c>
      <c r="H456" t="s">
        <v>22</v>
      </c>
      <c r="I456" t="s">
        <v>31</v>
      </c>
      <c r="J456">
        <v>8</v>
      </c>
      <c r="K456">
        <v>2026</v>
      </c>
      <c r="L456">
        <v>9</v>
      </c>
      <c r="M456">
        <v>17</v>
      </c>
      <c r="N456" t="s">
        <v>19</v>
      </c>
      <c r="O456" t="s">
        <v>13</v>
      </c>
      <c r="P456" t="s">
        <v>52</v>
      </c>
      <c r="Q456" t="s">
        <v>45</v>
      </c>
    </row>
    <row r="457" spans="1:17" x14ac:dyDescent="0.35">
      <c r="A457">
        <v>468</v>
      </c>
      <c r="B457">
        <v>15</v>
      </c>
      <c r="C457">
        <v>10</v>
      </c>
      <c r="D457">
        <v>4</v>
      </c>
      <c r="E457" s="1">
        <v>46215.9375</v>
      </c>
      <c r="F457">
        <v>4</v>
      </c>
      <c r="G457">
        <v>40</v>
      </c>
      <c r="H457" t="s">
        <v>22</v>
      </c>
      <c r="I457" t="s">
        <v>18</v>
      </c>
      <c r="J457">
        <v>10</v>
      </c>
      <c r="K457">
        <v>2026</v>
      </c>
      <c r="L457">
        <v>7</v>
      </c>
      <c r="M457">
        <v>22</v>
      </c>
      <c r="N457" t="s">
        <v>28</v>
      </c>
      <c r="O457" t="s">
        <v>24</v>
      </c>
      <c r="P457" t="s">
        <v>25</v>
      </c>
      <c r="Q457" t="s">
        <v>26</v>
      </c>
    </row>
    <row r="458" spans="1:17" x14ac:dyDescent="0.35">
      <c r="A458">
        <v>469</v>
      </c>
      <c r="B458">
        <v>17</v>
      </c>
      <c r="C458">
        <v>14</v>
      </c>
      <c r="D458">
        <v>7</v>
      </c>
      <c r="E458" s="1">
        <v>46149.9375</v>
      </c>
      <c r="F458">
        <v>1</v>
      </c>
      <c r="G458">
        <v>9</v>
      </c>
      <c r="H458" t="s">
        <v>22</v>
      </c>
      <c r="I458" t="s">
        <v>27</v>
      </c>
      <c r="J458">
        <v>9</v>
      </c>
      <c r="K458">
        <v>2026</v>
      </c>
      <c r="L458">
        <v>5</v>
      </c>
      <c r="M458">
        <v>22</v>
      </c>
      <c r="N458" t="s">
        <v>41</v>
      </c>
      <c r="O458" t="s">
        <v>13</v>
      </c>
      <c r="P458" t="s">
        <v>29</v>
      </c>
      <c r="Q458" t="s">
        <v>35</v>
      </c>
    </row>
    <row r="459" spans="1:17" x14ac:dyDescent="0.35">
      <c r="A459">
        <v>470</v>
      </c>
      <c r="B459">
        <v>18</v>
      </c>
      <c r="C459">
        <v>1</v>
      </c>
      <c r="D459">
        <v>6</v>
      </c>
      <c r="E459" s="1">
        <v>46041.770833333343</v>
      </c>
      <c r="F459">
        <v>6</v>
      </c>
      <c r="G459">
        <v>48</v>
      </c>
      <c r="H459" t="s">
        <v>22</v>
      </c>
      <c r="I459" t="s">
        <v>27</v>
      </c>
      <c r="J459">
        <v>8</v>
      </c>
      <c r="K459">
        <v>2026</v>
      </c>
      <c r="L459">
        <v>1</v>
      </c>
      <c r="M459">
        <v>18</v>
      </c>
      <c r="N459" t="s">
        <v>33</v>
      </c>
      <c r="O459" t="s">
        <v>13</v>
      </c>
      <c r="P459" t="s">
        <v>39</v>
      </c>
      <c r="Q459" t="s">
        <v>21</v>
      </c>
    </row>
    <row r="460" spans="1:17" x14ac:dyDescent="0.35">
      <c r="A460">
        <v>471</v>
      </c>
      <c r="B460">
        <v>3</v>
      </c>
      <c r="C460">
        <v>12</v>
      </c>
      <c r="D460">
        <v>1</v>
      </c>
      <c r="E460" s="1">
        <v>46274.958333333343</v>
      </c>
      <c r="F460">
        <v>2</v>
      </c>
      <c r="G460">
        <v>18</v>
      </c>
      <c r="H460" t="s">
        <v>22</v>
      </c>
      <c r="I460" t="s">
        <v>27</v>
      </c>
      <c r="J460">
        <v>9</v>
      </c>
      <c r="K460">
        <v>2026</v>
      </c>
      <c r="L460">
        <v>9</v>
      </c>
      <c r="M460">
        <v>23</v>
      </c>
      <c r="N460" t="s">
        <v>19</v>
      </c>
      <c r="O460" t="s">
        <v>13</v>
      </c>
      <c r="P460" t="s">
        <v>57</v>
      </c>
      <c r="Q460" t="s">
        <v>40</v>
      </c>
    </row>
    <row r="461" spans="1:17" x14ac:dyDescent="0.35">
      <c r="A461">
        <v>472</v>
      </c>
      <c r="B461">
        <v>2</v>
      </c>
      <c r="C461">
        <v>9</v>
      </c>
      <c r="D461">
        <v>6</v>
      </c>
      <c r="E461" s="1">
        <v>46209.875</v>
      </c>
      <c r="F461">
        <v>1</v>
      </c>
      <c r="G461">
        <v>9</v>
      </c>
      <c r="H461" t="s">
        <v>17</v>
      </c>
      <c r="I461" t="s">
        <v>18</v>
      </c>
      <c r="J461">
        <v>9</v>
      </c>
      <c r="K461">
        <v>2026</v>
      </c>
      <c r="L461">
        <v>7</v>
      </c>
      <c r="M461">
        <v>21</v>
      </c>
      <c r="N461" t="s">
        <v>33</v>
      </c>
      <c r="O461" t="s">
        <v>13</v>
      </c>
      <c r="P461" t="s">
        <v>48</v>
      </c>
      <c r="Q461" t="s">
        <v>21</v>
      </c>
    </row>
    <row r="462" spans="1:17" x14ac:dyDescent="0.35">
      <c r="A462">
        <v>473</v>
      </c>
      <c r="B462">
        <v>14</v>
      </c>
      <c r="C462">
        <v>16</v>
      </c>
      <c r="D462">
        <v>7</v>
      </c>
      <c r="E462" s="1">
        <v>46245.916666666657</v>
      </c>
      <c r="F462">
        <v>1</v>
      </c>
      <c r="G462">
        <v>9</v>
      </c>
      <c r="H462" t="s">
        <v>22</v>
      </c>
      <c r="I462" t="s">
        <v>27</v>
      </c>
      <c r="J462">
        <v>9</v>
      </c>
      <c r="K462">
        <v>2026</v>
      </c>
      <c r="L462">
        <v>8</v>
      </c>
      <c r="M462">
        <v>22</v>
      </c>
      <c r="N462" t="s">
        <v>37</v>
      </c>
      <c r="O462" t="s">
        <v>13</v>
      </c>
      <c r="P462" t="s">
        <v>51</v>
      </c>
      <c r="Q462" t="s">
        <v>35</v>
      </c>
    </row>
    <row r="463" spans="1:17" x14ac:dyDescent="0.35">
      <c r="A463">
        <v>474</v>
      </c>
      <c r="B463">
        <v>15</v>
      </c>
      <c r="C463">
        <v>11</v>
      </c>
      <c r="D463">
        <v>2</v>
      </c>
      <c r="E463" s="1">
        <v>46154.770833333343</v>
      </c>
      <c r="F463">
        <v>4</v>
      </c>
      <c r="G463">
        <v>32</v>
      </c>
      <c r="H463" t="s">
        <v>22</v>
      </c>
      <c r="I463" t="s">
        <v>27</v>
      </c>
      <c r="J463">
        <v>8</v>
      </c>
      <c r="K463">
        <v>2026</v>
      </c>
      <c r="L463">
        <v>5</v>
      </c>
      <c r="M463">
        <v>18</v>
      </c>
      <c r="N463" t="s">
        <v>37</v>
      </c>
      <c r="O463" t="s">
        <v>13</v>
      </c>
      <c r="P463" t="s">
        <v>59</v>
      </c>
      <c r="Q463" t="s">
        <v>54</v>
      </c>
    </row>
    <row r="464" spans="1:17" x14ac:dyDescent="0.35">
      <c r="A464">
        <v>475</v>
      </c>
      <c r="B464">
        <v>17</v>
      </c>
      <c r="C464">
        <v>12</v>
      </c>
      <c r="D464">
        <v>8</v>
      </c>
      <c r="E464" s="1">
        <v>46202.729166666657</v>
      </c>
      <c r="F464">
        <v>4</v>
      </c>
      <c r="G464">
        <v>32</v>
      </c>
      <c r="H464" t="s">
        <v>22</v>
      </c>
      <c r="I464" t="s">
        <v>18</v>
      </c>
      <c r="J464">
        <v>8</v>
      </c>
      <c r="K464">
        <v>2026</v>
      </c>
      <c r="L464">
        <v>6</v>
      </c>
      <c r="M464">
        <v>17</v>
      </c>
      <c r="N464" t="s">
        <v>33</v>
      </c>
      <c r="O464" t="s">
        <v>13</v>
      </c>
      <c r="P464" t="s">
        <v>57</v>
      </c>
      <c r="Q464" t="s">
        <v>46</v>
      </c>
    </row>
    <row r="465" spans="1:17" x14ac:dyDescent="0.35">
      <c r="A465">
        <v>476</v>
      </c>
      <c r="B465">
        <v>8</v>
      </c>
      <c r="C465">
        <v>13</v>
      </c>
      <c r="D465">
        <v>4</v>
      </c>
      <c r="E465" s="1">
        <v>46343.958333333343</v>
      </c>
      <c r="F465">
        <v>5</v>
      </c>
      <c r="G465">
        <v>45</v>
      </c>
      <c r="H465" t="s">
        <v>22</v>
      </c>
      <c r="I465" t="s">
        <v>18</v>
      </c>
      <c r="J465">
        <v>9</v>
      </c>
      <c r="K465">
        <v>2026</v>
      </c>
      <c r="L465">
        <v>11</v>
      </c>
      <c r="M465">
        <v>23</v>
      </c>
      <c r="N465" t="s">
        <v>37</v>
      </c>
      <c r="O465" t="s">
        <v>13</v>
      </c>
      <c r="P465" t="s">
        <v>49</v>
      </c>
      <c r="Q465" t="s">
        <v>26</v>
      </c>
    </row>
    <row r="466" spans="1:17" x14ac:dyDescent="0.35">
      <c r="A466">
        <v>477</v>
      </c>
      <c r="B466">
        <v>10</v>
      </c>
      <c r="C466">
        <v>5</v>
      </c>
      <c r="D466">
        <v>5</v>
      </c>
      <c r="E466" s="1">
        <v>46227.6875</v>
      </c>
      <c r="F466">
        <v>1</v>
      </c>
      <c r="G466">
        <v>8</v>
      </c>
      <c r="H466" t="s">
        <v>22</v>
      </c>
      <c r="I466" t="s">
        <v>18</v>
      </c>
      <c r="J466">
        <v>8</v>
      </c>
      <c r="K466">
        <v>2026</v>
      </c>
      <c r="L466">
        <v>7</v>
      </c>
      <c r="M466">
        <v>16</v>
      </c>
      <c r="N466" t="s">
        <v>43</v>
      </c>
      <c r="O466" t="s">
        <v>13</v>
      </c>
      <c r="P466" t="s">
        <v>53</v>
      </c>
      <c r="Q466" t="s">
        <v>50</v>
      </c>
    </row>
    <row r="467" spans="1:17" x14ac:dyDescent="0.35">
      <c r="A467">
        <v>478</v>
      </c>
      <c r="B467">
        <v>1</v>
      </c>
      <c r="C467">
        <v>2</v>
      </c>
      <c r="D467">
        <v>6</v>
      </c>
      <c r="E467" s="1">
        <v>46214.708333333343</v>
      </c>
      <c r="F467">
        <v>2</v>
      </c>
      <c r="G467">
        <v>18</v>
      </c>
      <c r="H467" t="s">
        <v>22</v>
      </c>
      <c r="I467" t="s">
        <v>27</v>
      </c>
      <c r="J467">
        <v>9</v>
      </c>
      <c r="K467">
        <v>2026</v>
      </c>
      <c r="L467">
        <v>7</v>
      </c>
      <c r="M467">
        <v>17</v>
      </c>
      <c r="N467" t="s">
        <v>23</v>
      </c>
      <c r="O467" t="s">
        <v>24</v>
      </c>
      <c r="P467" t="s">
        <v>44</v>
      </c>
      <c r="Q467" t="s">
        <v>21</v>
      </c>
    </row>
    <row r="468" spans="1:17" x14ac:dyDescent="0.35">
      <c r="A468">
        <v>479</v>
      </c>
      <c r="B468">
        <v>18</v>
      </c>
      <c r="C468">
        <v>17</v>
      </c>
      <c r="D468">
        <v>10</v>
      </c>
      <c r="E468" s="1">
        <v>46273.916666666657</v>
      </c>
      <c r="F468">
        <v>1</v>
      </c>
      <c r="G468">
        <v>9</v>
      </c>
      <c r="H468" t="s">
        <v>22</v>
      </c>
      <c r="I468" t="s">
        <v>27</v>
      </c>
      <c r="J468">
        <v>9</v>
      </c>
      <c r="K468">
        <v>2026</v>
      </c>
      <c r="L468">
        <v>9</v>
      </c>
      <c r="M468">
        <v>22</v>
      </c>
      <c r="N468" t="s">
        <v>37</v>
      </c>
      <c r="O468" t="s">
        <v>13</v>
      </c>
      <c r="P468" t="s">
        <v>56</v>
      </c>
      <c r="Q468" t="s">
        <v>32</v>
      </c>
    </row>
    <row r="469" spans="1:17" x14ac:dyDescent="0.35">
      <c r="A469">
        <v>480</v>
      </c>
      <c r="B469">
        <v>17</v>
      </c>
      <c r="C469">
        <v>18</v>
      </c>
      <c r="D469">
        <v>6</v>
      </c>
      <c r="E469" s="1">
        <v>46116.8125</v>
      </c>
      <c r="F469">
        <v>5</v>
      </c>
      <c r="G469">
        <v>45</v>
      </c>
      <c r="H469" t="s">
        <v>22</v>
      </c>
      <c r="I469" t="s">
        <v>18</v>
      </c>
      <c r="J469">
        <v>9</v>
      </c>
      <c r="K469">
        <v>2026</v>
      </c>
      <c r="L469">
        <v>4</v>
      </c>
      <c r="M469">
        <v>19</v>
      </c>
      <c r="N469" t="s">
        <v>23</v>
      </c>
      <c r="O469" t="s">
        <v>24</v>
      </c>
      <c r="P469" t="s">
        <v>47</v>
      </c>
      <c r="Q469" t="s">
        <v>21</v>
      </c>
    </row>
    <row r="470" spans="1:17" x14ac:dyDescent="0.35">
      <c r="A470">
        <v>481</v>
      </c>
      <c r="B470">
        <v>17</v>
      </c>
      <c r="C470">
        <v>11</v>
      </c>
      <c r="D470">
        <v>8</v>
      </c>
      <c r="E470" s="1">
        <v>46372.8125</v>
      </c>
      <c r="F470">
        <v>2</v>
      </c>
      <c r="G470">
        <v>16</v>
      </c>
      <c r="H470" t="s">
        <v>22</v>
      </c>
      <c r="I470" t="s">
        <v>31</v>
      </c>
      <c r="J470">
        <v>8</v>
      </c>
      <c r="K470">
        <v>2026</v>
      </c>
      <c r="L470">
        <v>12</v>
      </c>
      <c r="M470">
        <v>19</v>
      </c>
      <c r="N470" t="s">
        <v>19</v>
      </c>
      <c r="O470" t="s">
        <v>13</v>
      </c>
      <c r="P470" t="s">
        <v>59</v>
      </c>
      <c r="Q470" t="s">
        <v>46</v>
      </c>
    </row>
    <row r="471" spans="1:17" x14ac:dyDescent="0.35">
      <c r="A471">
        <v>482</v>
      </c>
      <c r="B471">
        <v>17</v>
      </c>
      <c r="C471">
        <v>13</v>
      </c>
      <c r="D471">
        <v>10</v>
      </c>
      <c r="E471" s="1">
        <v>46160.916666666657</v>
      </c>
      <c r="F471">
        <v>3</v>
      </c>
      <c r="G471">
        <v>27</v>
      </c>
      <c r="H471" t="s">
        <v>22</v>
      </c>
      <c r="I471" t="s">
        <v>18</v>
      </c>
      <c r="J471">
        <v>9</v>
      </c>
      <c r="K471">
        <v>2026</v>
      </c>
      <c r="L471">
        <v>5</v>
      </c>
      <c r="M471">
        <v>22</v>
      </c>
      <c r="N471" t="s">
        <v>33</v>
      </c>
      <c r="O471" t="s">
        <v>13</v>
      </c>
      <c r="P471" t="s">
        <v>49</v>
      </c>
      <c r="Q471" t="s">
        <v>32</v>
      </c>
    </row>
    <row r="472" spans="1:17" x14ac:dyDescent="0.35">
      <c r="A472">
        <v>483</v>
      </c>
      <c r="B472">
        <v>8</v>
      </c>
      <c r="C472">
        <v>9</v>
      </c>
      <c r="D472">
        <v>1</v>
      </c>
      <c r="E472" s="1">
        <v>46181.604166666657</v>
      </c>
      <c r="F472">
        <v>6</v>
      </c>
      <c r="G472">
        <v>48</v>
      </c>
      <c r="H472" t="s">
        <v>22</v>
      </c>
      <c r="I472" t="s">
        <v>18</v>
      </c>
      <c r="J472">
        <v>8</v>
      </c>
      <c r="K472">
        <v>2026</v>
      </c>
      <c r="L472">
        <v>6</v>
      </c>
      <c r="M472">
        <v>14</v>
      </c>
      <c r="N472" t="s">
        <v>33</v>
      </c>
      <c r="O472" t="s">
        <v>13</v>
      </c>
      <c r="P472" t="s">
        <v>48</v>
      </c>
      <c r="Q472" t="s">
        <v>40</v>
      </c>
    </row>
    <row r="473" spans="1:17" x14ac:dyDescent="0.35">
      <c r="A473">
        <v>484</v>
      </c>
      <c r="B473">
        <v>11</v>
      </c>
      <c r="C473">
        <v>8</v>
      </c>
      <c r="D473">
        <v>10</v>
      </c>
      <c r="E473" s="1">
        <v>46365.916666666657</v>
      </c>
      <c r="F473">
        <v>6</v>
      </c>
      <c r="G473">
        <v>54</v>
      </c>
      <c r="H473" t="s">
        <v>22</v>
      </c>
      <c r="I473" t="s">
        <v>31</v>
      </c>
      <c r="J473">
        <v>9</v>
      </c>
      <c r="K473">
        <v>2026</v>
      </c>
      <c r="L473">
        <v>12</v>
      </c>
      <c r="M473">
        <v>22</v>
      </c>
      <c r="N473" t="s">
        <v>19</v>
      </c>
      <c r="O473" t="s">
        <v>13</v>
      </c>
      <c r="P473" t="s">
        <v>42</v>
      </c>
      <c r="Q473" t="s">
        <v>32</v>
      </c>
    </row>
    <row r="474" spans="1:17" x14ac:dyDescent="0.35">
      <c r="A474">
        <v>485</v>
      </c>
      <c r="B474">
        <v>3</v>
      </c>
      <c r="C474">
        <v>19</v>
      </c>
      <c r="D474">
        <v>8</v>
      </c>
      <c r="E474" s="1">
        <v>46323.916666666657</v>
      </c>
      <c r="F474">
        <v>3</v>
      </c>
      <c r="G474">
        <v>27</v>
      </c>
      <c r="H474" t="s">
        <v>22</v>
      </c>
      <c r="I474" t="s">
        <v>31</v>
      </c>
      <c r="J474">
        <v>9</v>
      </c>
      <c r="K474">
        <v>2026</v>
      </c>
      <c r="L474">
        <v>10</v>
      </c>
      <c r="M474">
        <v>22</v>
      </c>
      <c r="N474" t="s">
        <v>19</v>
      </c>
      <c r="O474" t="s">
        <v>13</v>
      </c>
      <c r="P474" t="s">
        <v>58</v>
      </c>
      <c r="Q474" t="s">
        <v>46</v>
      </c>
    </row>
    <row r="475" spans="1:17" x14ac:dyDescent="0.35">
      <c r="A475">
        <v>486</v>
      </c>
      <c r="B475">
        <v>3</v>
      </c>
      <c r="C475">
        <v>12</v>
      </c>
      <c r="D475">
        <v>9</v>
      </c>
      <c r="E475" s="1">
        <v>46061.979166666657</v>
      </c>
      <c r="F475">
        <v>4</v>
      </c>
      <c r="G475">
        <v>40</v>
      </c>
      <c r="H475" t="s">
        <v>22</v>
      </c>
      <c r="I475" t="s">
        <v>18</v>
      </c>
      <c r="J475">
        <v>10</v>
      </c>
      <c r="K475">
        <v>2026</v>
      </c>
      <c r="L475">
        <v>2</v>
      </c>
      <c r="M475">
        <v>23</v>
      </c>
      <c r="N475" t="s">
        <v>28</v>
      </c>
      <c r="O475" t="s">
        <v>24</v>
      </c>
      <c r="P475" t="s">
        <v>57</v>
      </c>
      <c r="Q475" t="s">
        <v>30</v>
      </c>
    </row>
    <row r="476" spans="1:17" x14ac:dyDescent="0.35">
      <c r="A476">
        <v>487</v>
      </c>
      <c r="B476">
        <v>18</v>
      </c>
      <c r="C476">
        <v>17</v>
      </c>
      <c r="D476">
        <v>5</v>
      </c>
      <c r="E476" s="1">
        <v>46025.833333333343</v>
      </c>
      <c r="F476">
        <v>1</v>
      </c>
      <c r="G476">
        <v>9</v>
      </c>
      <c r="H476" t="s">
        <v>22</v>
      </c>
      <c r="I476" t="s">
        <v>31</v>
      </c>
      <c r="J476">
        <v>9</v>
      </c>
      <c r="K476">
        <v>2026</v>
      </c>
      <c r="L476">
        <v>1</v>
      </c>
      <c r="M476">
        <v>20</v>
      </c>
      <c r="N476" t="s">
        <v>23</v>
      </c>
      <c r="O476" t="s">
        <v>24</v>
      </c>
      <c r="P476" t="s">
        <v>56</v>
      </c>
      <c r="Q476" t="s">
        <v>50</v>
      </c>
    </row>
    <row r="477" spans="1:17" x14ac:dyDescent="0.35">
      <c r="A477">
        <v>488</v>
      </c>
      <c r="B477">
        <v>7</v>
      </c>
      <c r="C477">
        <v>16</v>
      </c>
      <c r="D477">
        <v>2</v>
      </c>
      <c r="E477" s="1">
        <v>46311.916666666657</v>
      </c>
      <c r="F477">
        <v>6</v>
      </c>
      <c r="G477">
        <v>54</v>
      </c>
      <c r="H477" t="s">
        <v>22</v>
      </c>
      <c r="I477" t="s">
        <v>18</v>
      </c>
      <c r="J477">
        <v>9</v>
      </c>
      <c r="K477">
        <v>2026</v>
      </c>
      <c r="L477">
        <v>10</v>
      </c>
      <c r="M477">
        <v>22</v>
      </c>
      <c r="N477" t="s">
        <v>43</v>
      </c>
      <c r="O477" t="s">
        <v>13</v>
      </c>
      <c r="P477" t="s">
        <v>51</v>
      </c>
      <c r="Q477" t="s">
        <v>54</v>
      </c>
    </row>
    <row r="478" spans="1:17" x14ac:dyDescent="0.35">
      <c r="A478">
        <v>489</v>
      </c>
      <c r="B478">
        <v>12</v>
      </c>
      <c r="C478">
        <v>20</v>
      </c>
      <c r="D478">
        <v>10</v>
      </c>
      <c r="E478" s="1">
        <v>46167.666666666657</v>
      </c>
      <c r="F478">
        <v>5</v>
      </c>
      <c r="G478">
        <v>40</v>
      </c>
      <c r="H478" t="s">
        <v>22</v>
      </c>
      <c r="I478" t="s">
        <v>27</v>
      </c>
      <c r="J478">
        <v>8</v>
      </c>
      <c r="K478">
        <v>2026</v>
      </c>
      <c r="L478">
        <v>5</v>
      </c>
      <c r="M478">
        <v>16</v>
      </c>
      <c r="N478" t="s">
        <v>33</v>
      </c>
      <c r="O478" t="s">
        <v>13</v>
      </c>
      <c r="P478" t="s">
        <v>36</v>
      </c>
      <c r="Q478" t="s">
        <v>32</v>
      </c>
    </row>
    <row r="479" spans="1:17" x14ac:dyDescent="0.35">
      <c r="A479">
        <v>490</v>
      </c>
      <c r="B479">
        <v>4</v>
      </c>
      <c r="C479">
        <v>14</v>
      </c>
      <c r="D479">
        <v>4</v>
      </c>
      <c r="E479" s="1">
        <v>46150.770833333343</v>
      </c>
      <c r="F479">
        <v>4</v>
      </c>
      <c r="G479">
        <v>32</v>
      </c>
      <c r="H479" t="s">
        <v>22</v>
      </c>
      <c r="I479" t="s">
        <v>31</v>
      </c>
      <c r="J479">
        <v>8</v>
      </c>
      <c r="K479">
        <v>2026</v>
      </c>
      <c r="L479">
        <v>5</v>
      </c>
      <c r="M479">
        <v>18</v>
      </c>
      <c r="N479" t="s">
        <v>43</v>
      </c>
      <c r="O479" t="s">
        <v>13</v>
      </c>
      <c r="P479" t="s">
        <v>29</v>
      </c>
      <c r="Q479" t="s">
        <v>26</v>
      </c>
    </row>
    <row r="480" spans="1:17" x14ac:dyDescent="0.35">
      <c r="A480">
        <v>491</v>
      </c>
      <c r="B480">
        <v>13</v>
      </c>
      <c r="C480">
        <v>18</v>
      </c>
      <c r="D480">
        <v>5</v>
      </c>
      <c r="E480" s="1">
        <v>46359.916666666657</v>
      </c>
      <c r="F480">
        <v>4</v>
      </c>
      <c r="G480">
        <v>36</v>
      </c>
      <c r="H480" t="s">
        <v>22</v>
      </c>
      <c r="I480" t="s">
        <v>27</v>
      </c>
      <c r="J480">
        <v>9</v>
      </c>
      <c r="K480">
        <v>2026</v>
      </c>
      <c r="L480">
        <v>12</v>
      </c>
      <c r="M480">
        <v>22</v>
      </c>
      <c r="N480" t="s">
        <v>41</v>
      </c>
      <c r="O480" t="s">
        <v>13</v>
      </c>
      <c r="P480" t="s">
        <v>47</v>
      </c>
      <c r="Q480" t="s">
        <v>50</v>
      </c>
    </row>
    <row r="481" spans="1:17" x14ac:dyDescent="0.35">
      <c r="A481">
        <v>492</v>
      </c>
      <c r="B481">
        <v>2</v>
      </c>
      <c r="C481">
        <v>19</v>
      </c>
      <c r="D481">
        <v>4</v>
      </c>
      <c r="E481" s="1">
        <v>46278.791666666657</v>
      </c>
      <c r="F481">
        <v>2</v>
      </c>
      <c r="G481">
        <v>18</v>
      </c>
      <c r="H481" t="s">
        <v>17</v>
      </c>
      <c r="I481" t="s">
        <v>18</v>
      </c>
      <c r="J481">
        <v>9</v>
      </c>
      <c r="K481">
        <v>2026</v>
      </c>
      <c r="L481">
        <v>9</v>
      </c>
      <c r="M481">
        <v>19</v>
      </c>
      <c r="N481" t="s">
        <v>28</v>
      </c>
      <c r="O481" t="s">
        <v>24</v>
      </c>
      <c r="P481" t="s">
        <v>58</v>
      </c>
      <c r="Q481" t="s">
        <v>26</v>
      </c>
    </row>
    <row r="482" spans="1:17" x14ac:dyDescent="0.35">
      <c r="A482">
        <v>493</v>
      </c>
      <c r="B482">
        <v>3</v>
      </c>
      <c r="C482">
        <v>18</v>
      </c>
      <c r="D482">
        <v>5</v>
      </c>
      <c r="E482" s="1">
        <v>46286.604166666657</v>
      </c>
      <c r="F482">
        <v>1</v>
      </c>
      <c r="G482">
        <v>8</v>
      </c>
      <c r="H482" t="s">
        <v>22</v>
      </c>
      <c r="I482" t="s">
        <v>31</v>
      </c>
      <c r="J482">
        <v>8</v>
      </c>
      <c r="K482">
        <v>2026</v>
      </c>
      <c r="L482">
        <v>9</v>
      </c>
      <c r="M482">
        <v>14</v>
      </c>
      <c r="N482" t="s">
        <v>33</v>
      </c>
      <c r="O482" t="s">
        <v>13</v>
      </c>
      <c r="P482" t="s">
        <v>47</v>
      </c>
      <c r="Q482" t="s">
        <v>50</v>
      </c>
    </row>
    <row r="483" spans="1:17" x14ac:dyDescent="0.35">
      <c r="A483">
        <v>494</v>
      </c>
      <c r="B483">
        <v>6</v>
      </c>
      <c r="C483">
        <v>3</v>
      </c>
      <c r="D483">
        <v>3</v>
      </c>
      <c r="E483" s="1">
        <v>46244.666666666657</v>
      </c>
      <c r="F483">
        <v>4</v>
      </c>
      <c r="G483">
        <v>32</v>
      </c>
      <c r="H483" t="s">
        <v>22</v>
      </c>
      <c r="I483" t="s">
        <v>31</v>
      </c>
      <c r="J483">
        <v>8</v>
      </c>
      <c r="K483">
        <v>2026</v>
      </c>
      <c r="L483">
        <v>8</v>
      </c>
      <c r="M483">
        <v>16</v>
      </c>
      <c r="N483" t="s">
        <v>33</v>
      </c>
      <c r="O483" t="s">
        <v>13</v>
      </c>
      <c r="P483" t="s">
        <v>20</v>
      </c>
      <c r="Q483" t="s">
        <v>45</v>
      </c>
    </row>
    <row r="484" spans="1:17" x14ac:dyDescent="0.35">
      <c r="A484">
        <v>495</v>
      </c>
      <c r="B484">
        <v>7</v>
      </c>
      <c r="C484">
        <v>15</v>
      </c>
      <c r="D484">
        <v>3</v>
      </c>
      <c r="E484" s="1">
        <v>46152.916666666657</v>
      </c>
      <c r="F484">
        <v>5</v>
      </c>
      <c r="G484">
        <v>50</v>
      </c>
      <c r="H484" t="s">
        <v>22</v>
      </c>
      <c r="I484" t="s">
        <v>18</v>
      </c>
      <c r="J484">
        <v>10</v>
      </c>
      <c r="K484">
        <v>2026</v>
      </c>
      <c r="L484">
        <v>5</v>
      </c>
      <c r="M484">
        <v>22</v>
      </c>
      <c r="N484" t="s">
        <v>28</v>
      </c>
      <c r="O484" t="s">
        <v>24</v>
      </c>
      <c r="P484" t="s">
        <v>38</v>
      </c>
      <c r="Q484" t="s">
        <v>45</v>
      </c>
    </row>
    <row r="485" spans="1:17" x14ac:dyDescent="0.35">
      <c r="A485">
        <v>496</v>
      </c>
      <c r="B485">
        <v>16</v>
      </c>
      <c r="C485">
        <v>17</v>
      </c>
      <c r="D485">
        <v>10</v>
      </c>
      <c r="E485" s="1">
        <v>46171.729166666657</v>
      </c>
      <c r="F485">
        <v>6</v>
      </c>
      <c r="G485">
        <v>48</v>
      </c>
      <c r="H485" t="s">
        <v>22</v>
      </c>
      <c r="I485" t="s">
        <v>27</v>
      </c>
      <c r="J485">
        <v>8</v>
      </c>
      <c r="K485">
        <v>2026</v>
      </c>
      <c r="L485">
        <v>5</v>
      </c>
      <c r="M485">
        <v>17</v>
      </c>
      <c r="N485" t="s">
        <v>43</v>
      </c>
      <c r="O485" t="s">
        <v>13</v>
      </c>
      <c r="P485" t="s">
        <v>56</v>
      </c>
      <c r="Q485" t="s">
        <v>32</v>
      </c>
    </row>
    <row r="486" spans="1:17" x14ac:dyDescent="0.35">
      <c r="A486">
        <v>497</v>
      </c>
      <c r="B486">
        <v>19</v>
      </c>
      <c r="C486">
        <v>5</v>
      </c>
      <c r="D486">
        <v>7</v>
      </c>
      <c r="E486" s="1">
        <v>46111.604166666657</v>
      </c>
      <c r="F486">
        <v>2</v>
      </c>
      <c r="G486">
        <v>16</v>
      </c>
      <c r="H486" t="s">
        <v>22</v>
      </c>
      <c r="I486" t="s">
        <v>31</v>
      </c>
      <c r="J486">
        <v>8</v>
      </c>
      <c r="K486">
        <v>2026</v>
      </c>
      <c r="L486">
        <v>3</v>
      </c>
      <c r="M486">
        <v>14</v>
      </c>
      <c r="N486" t="s">
        <v>33</v>
      </c>
      <c r="O486" t="s">
        <v>13</v>
      </c>
      <c r="P486" t="s">
        <v>53</v>
      </c>
      <c r="Q486" t="s">
        <v>35</v>
      </c>
    </row>
    <row r="487" spans="1:17" x14ac:dyDescent="0.35">
      <c r="A487">
        <v>498</v>
      </c>
      <c r="B487">
        <v>3</v>
      </c>
      <c r="C487">
        <v>15</v>
      </c>
      <c r="D487">
        <v>10</v>
      </c>
      <c r="E487" s="1">
        <v>46177.9375</v>
      </c>
      <c r="F487">
        <v>4</v>
      </c>
      <c r="G487">
        <v>36</v>
      </c>
      <c r="H487" t="s">
        <v>22</v>
      </c>
      <c r="I487" t="s">
        <v>31</v>
      </c>
      <c r="J487">
        <v>9</v>
      </c>
      <c r="K487">
        <v>2026</v>
      </c>
      <c r="L487">
        <v>6</v>
      </c>
      <c r="M487">
        <v>22</v>
      </c>
      <c r="N487" t="s">
        <v>41</v>
      </c>
      <c r="O487" t="s">
        <v>13</v>
      </c>
      <c r="P487" t="s">
        <v>38</v>
      </c>
      <c r="Q487" t="s">
        <v>32</v>
      </c>
    </row>
    <row r="488" spans="1:17" x14ac:dyDescent="0.35">
      <c r="A488">
        <v>499</v>
      </c>
      <c r="B488">
        <v>20</v>
      </c>
      <c r="C488">
        <v>8</v>
      </c>
      <c r="D488">
        <v>6</v>
      </c>
      <c r="E488" s="1">
        <v>46107.583333333343</v>
      </c>
      <c r="F488">
        <v>4</v>
      </c>
      <c r="G488">
        <v>32</v>
      </c>
      <c r="H488" t="s">
        <v>22</v>
      </c>
      <c r="I488" t="s">
        <v>27</v>
      </c>
      <c r="J488">
        <v>8</v>
      </c>
      <c r="K488">
        <v>2026</v>
      </c>
      <c r="L488">
        <v>3</v>
      </c>
      <c r="M488">
        <v>14</v>
      </c>
      <c r="N488" t="s">
        <v>41</v>
      </c>
      <c r="O488" t="s">
        <v>13</v>
      </c>
      <c r="P488" t="s">
        <v>42</v>
      </c>
      <c r="Q488" t="s">
        <v>21</v>
      </c>
    </row>
    <row r="489" spans="1:17" x14ac:dyDescent="0.35">
      <c r="A489">
        <v>500</v>
      </c>
      <c r="B489">
        <v>7</v>
      </c>
      <c r="C489">
        <v>8</v>
      </c>
      <c r="D489">
        <v>10</v>
      </c>
      <c r="E489" s="1">
        <v>46228.791666666657</v>
      </c>
      <c r="F489">
        <v>1</v>
      </c>
      <c r="G489">
        <v>9</v>
      </c>
      <c r="H489" t="s">
        <v>22</v>
      </c>
      <c r="I489" t="s">
        <v>27</v>
      </c>
      <c r="J489">
        <v>9</v>
      </c>
      <c r="K489">
        <v>2026</v>
      </c>
      <c r="L489">
        <v>7</v>
      </c>
      <c r="M489">
        <v>19</v>
      </c>
      <c r="N489" t="s">
        <v>23</v>
      </c>
      <c r="O489" t="s">
        <v>24</v>
      </c>
      <c r="P489" t="s">
        <v>42</v>
      </c>
      <c r="Q489" t="s">
        <v>32</v>
      </c>
    </row>
    <row r="490" spans="1:17" x14ac:dyDescent="0.35">
      <c r="A490">
        <v>501</v>
      </c>
      <c r="B490">
        <v>4</v>
      </c>
      <c r="C490">
        <v>9</v>
      </c>
      <c r="D490">
        <v>2</v>
      </c>
      <c r="E490" s="1">
        <v>46367.9375</v>
      </c>
      <c r="F490">
        <v>2</v>
      </c>
      <c r="G490">
        <v>18</v>
      </c>
      <c r="H490" t="s">
        <v>22</v>
      </c>
      <c r="I490" t="s">
        <v>18</v>
      </c>
      <c r="J490">
        <v>9</v>
      </c>
      <c r="K490">
        <v>2026</v>
      </c>
      <c r="L490">
        <v>12</v>
      </c>
      <c r="M490">
        <v>22</v>
      </c>
      <c r="N490" t="s">
        <v>43</v>
      </c>
      <c r="O490" t="s">
        <v>13</v>
      </c>
      <c r="P490" t="s">
        <v>48</v>
      </c>
      <c r="Q490" t="s">
        <v>54</v>
      </c>
    </row>
    <row r="491" spans="1:17" x14ac:dyDescent="0.35">
      <c r="A491">
        <v>502</v>
      </c>
      <c r="B491">
        <v>10</v>
      </c>
      <c r="C491">
        <v>2</v>
      </c>
      <c r="D491">
        <v>8</v>
      </c>
      <c r="E491" s="1">
        <v>46135.895833333343</v>
      </c>
      <c r="F491">
        <v>6</v>
      </c>
      <c r="G491">
        <v>54</v>
      </c>
      <c r="H491" t="s">
        <v>22</v>
      </c>
      <c r="I491" t="s">
        <v>27</v>
      </c>
      <c r="J491">
        <v>9</v>
      </c>
      <c r="K491">
        <v>2026</v>
      </c>
      <c r="L491">
        <v>4</v>
      </c>
      <c r="M491">
        <v>21</v>
      </c>
      <c r="N491" t="s">
        <v>41</v>
      </c>
      <c r="O491" t="s">
        <v>13</v>
      </c>
      <c r="P491" t="s">
        <v>44</v>
      </c>
      <c r="Q491" t="s">
        <v>46</v>
      </c>
    </row>
    <row r="492" spans="1:17" x14ac:dyDescent="0.35">
      <c r="A492">
        <v>503</v>
      </c>
      <c r="B492">
        <v>6</v>
      </c>
      <c r="C492">
        <v>16</v>
      </c>
      <c r="D492">
        <v>3</v>
      </c>
      <c r="E492" s="1">
        <v>46100.75</v>
      </c>
      <c r="F492">
        <v>3</v>
      </c>
      <c r="G492">
        <v>24</v>
      </c>
      <c r="H492" t="s">
        <v>22</v>
      </c>
      <c r="I492" t="s">
        <v>27</v>
      </c>
      <c r="J492">
        <v>8</v>
      </c>
      <c r="K492">
        <v>2026</v>
      </c>
      <c r="L492">
        <v>3</v>
      </c>
      <c r="M492">
        <v>18</v>
      </c>
      <c r="N492" t="s">
        <v>41</v>
      </c>
      <c r="O492" t="s">
        <v>13</v>
      </c>
      <c r="P492" t="s">
        <v>51</v>
      </c>
      <c r="Q492" t="s">
        <v>45</v>
      </c>
    </row>
    <row r="493" spans="1:17" x14ac:dyDescent="0.35">
      <c r="A493">
        <v>504</v>
      </c>
      <c r="B493">
        <v>8</v>
      </c>
      <c r="C493">
        <v>9</v>
      </c>
      <c r="D493">
        <v>9</v>
      </c>
      <c r="E493" s="1">
        <v>46153.583333333343</v>
      </c>
      <c r="F493">
        <v>4</v>
      </c>
      <c r="G493">
        <v>32</v>
      </c>
      <c r="H493" t="s">
        <v>22</v>
      </c>
      <c r="I493" t="s">
        <v>27</v>
      </c>
      <c r="J493">
        <v>8</v>
      </c>
      <c r="K493">
        <v>2026</v>
      </c>
      <c r="L493">
        <v>5</v>
      </c>
      <c r="M493">
        <v>14</v>
      </c>
      <c r="N493" t="s">
        <v>33</v>
      </c>
      <c r="O493" t="s">
        <v>13</v>
      </c>
      <c r="P493" t="s">
        <v>48</v>
      </c>
      <c r="Q493" t="s">
        <v>30</v>
      </c>
    </row>
    <row r="494" spans="1:17" x14ac:dyDescent="0.35">
      <c r="A494">
        <v>505</v>
      </c>
      <c r="B494">
        <v>10</v>
      </c>
      <c r="C494">
        <v>6</v>
      </c>
      <c r="D494">
        <v>7</v>
      </c>
      <c r="E494" s="1">
        <v>46190.625</v>
      </c>
      <c r="F494">
        <v>2</v>
      </c>
      <c r="G494">
        <v>16</v>
      </c>
      <c r="H494" t="s">
        <v>22</v>
      </c>
      <c r="I494" t="s">
        <v>27</v>
      </c>
      <c r="J494">
        <v>8</v>
      </c>
      <c r="K494">
        <v>2026</v>
      </c>
      <c r="L494">
        <v>6</v>
      </c>
      <c r="M494">
        <v>15</v>
      </c>
      <c r="N494" t="s">
        <v>19</v>
      </c>
      <c r="O494" t="s">
        <v>13</v>
      </c>
      <c r="P494" t="s">
        <v>52</v>
      </c>
      <c r="Q494" t="s">
        <v>35</v>
      </c>
    </row>
    <row r="495" spans="1:17" x14ac:dyDescent="0.35">
      <c r="A495">
        <v>506</v>
      </c>
      <c r="B495">
        <v>17</v>
      </c>
      <c r="C495">
        <v>18</v>
      </c>
      <c r="D495">
        <v>8</v>
      </c>
      <c r="E495" s="1">
        <v>46271.75</v>
      </c>
      <c r="F495">
        <v>4</v>
      </c>
      <c r="G495">
        <v>36</v>
      </c>
      <c r="H495" t="s">
        <v>22</v>
      </c>
      <c r="I495" t="s">
        <v>31</v>
      </c>
      <c r="J495">
        <v>9</v>
      </c>
      <c r="K495">
        <v>2026</v>
      </c>
      <c r="L495">
        <v>9</v>
      </c>
      <c r="M495">
        <v>18</v>
      </c>
      <c r="N495" t="s">
        <v>28</v>
      </c>
      <c r="O495" t="s">
        <v>24</v>
      </c>
      <c r="P495" t="s">
        <v>47</v>
      </c>
      <c r="Q495" t="s">
        <v>46</v>
      </c>
    </row>
    <row r="496" spans="1:17" x14ac:dyDescent="0.35">
      <c r="A496">
        <v>507</v>
      </c>
      <c r="B496">
        <v>19</v>
      </c>
      <c r="C496">
        <v>17</v>
      </c>
      <c r="D496">
        <v>9</v>
      </c>
      <c r="E496" s="1">
        <v>46309.708333333343</v>
      </c>
      <c r="F496">
        <v>5</v>
      </c>
      <c r="G496">
        <v>40</v>
      </c>
      <c r="H496" t="s">
        <v>22</v>
      </c>
      <c r="I496" t="s">
        <v>27</v>
      </c>
      <c r="J496">
        <v>8</v>
      </c>
      <c r="K496">
        <v>2026</v>
      </c>
      <c r="L496">
        <v>10</v>
      </c>
      <c r="M496">
        <v>17</v>
      </c>
      <c r="N496" t="s">
        <v>19</v>
      </c>
      <c r="O496" t="s">
        <v>13</v>
      </c>
      <c r="P496" t="s">
        <v>56</v>
      </c>
      <c r="Q496" t="s">
        <v>30</v>
      </c>
    </row>
    <row r="497" spans="1:17" x14ac:dyDescent="0.35">
      <c r="A497">
        <v>508</v>
      </c>
      <c r="B497">
        <v>3</v>
      </c>
      <c r="C497">
        <v>5</v>
      </c>
      <c r="D497">
        <v>8</v>
      </c>
      <c r="E497" s="1">
        <v>46352.6875</v>
      </c>
      <c r="F497">
        <v>4</v>
      </c>
      <c r="G497">
        <v>32</v>
      </c>
      <c r="H497" t="s">
        <v>22</v>
      </c>
      <c r="I497" t="s">
        <v>27</v>
      </c>
      <c r="J497">
        <v>8</v>
      </c>
      <c r="K497">
        <v>2026</v>
      </c>
      <c r="L497">
        <v>11</v>
      </c>
      <c r="M497">
        <v>16</v>
      </c>
      <c r="N497" t="s">
        <v>41</v>
      </c>
      <c r="O497" t="s">
        <v>13</v>
      </c>
      <c r="P497" t="s">
        <v>53</v>
      </c>
      <c r="Q497" t="s">
        <v>46</v>
      </c>
    </row>
    <row r="498" spans="1:17" x14ac:dyDescent="0.35">
      <c r="A498">
        <v>509</v>
      </c>
      <c r="B498">
        <v>10</v>
      </c>
      <c r="C498">
        <v>8</v>
      </c>
      <c r="D498">
        <v>8</v>
      </c>
      <c r="E498" s="1">
        <v>46318.916666666657</v>
      </c>
      <c r="F498">
        <v>4</v>
      </c>
      <c r="G498">
        <v>36</v>
      </c>
      <c r="H498" t="s">
        <v>22</v>
      </c>
      <c r="I498" t="s">
        <v>31</v>
      </c>
      <c r="J498">
        <v>9</v>
      </c>
      <c r="K498">
        <v>2026</v>
      </c>
      <c r="L498">
        <v>10</v>
      </c>
      <c r="M498">
        <v>22</v>
      </c>
      <c r="N498" t="s">
        <v>43</v>
      </c>
      <c r="O498" t="s">
        <v>13</v>
      </c>
      <c r="P498" t="s">
        <v>42</v>
      </c>
      <c r="Q498" t="s">
        <v>46</v>
      </c>
    </row>
    <row r="499" spans="1:17" x14ac:dyDescent="0.35">
      <c r="A499">
        <v>510</v>
      </c>
      <c r="B499">
        <v>7</v>
      </c>
      <c r="C499">
        <v>6</v>
      </c>
      <c r="D499">
        <v>9</v>
      </c>
      <c r="E499" s="1">
        <v>46330.729166666657</v>
      </c>
      <c r="F499">
        <v>5</v>
      </c>
      <c r="G499">
        <v>40</v>
      </c>
      <c r="H499" t="s">
        <v>22</v>
      </c>
      <c r="I499" t="s">
        <v>27</v>
      </c>
      <c r="J499">
        <v>8</v>
      </c>
      <c r="K499">
        <v>2026</v>
      </c>
      <c r="L499">
        <v>11</v>
      </c>
      <c r="M499">
        <v>17</v>
      </c>
      <c r="N499" t="s">
        <v>19</v>
      </c>
      <c r="O499" t="s">
        <v>13</v>
      </c>
      <c r="P499" t="s">
        <v>52</v>
      </c>
      <c r="Q499" t="s">
        <v>30</v>
      </c>
    </row>
    <row r="500" spans="1:17" x14ac:dyDescent="0.35">
      <c r="A500">
        <v>511</v>
      </c>
      <c r="B500">
        <v>17</v>
      </c>
      <c r="C500">
        <v>9</v>
      </c>
      <c r="D500">
        <v>2</v>
      </c>
      <c r="E500" s="1">
        <v>46297.75</v>
      </c>
      <c r="F500">
        <v>2</v>
      </c>
      <c r="G500">
        <v>16</v>
      </c>
      <c r="H500" t="s">
        <v>22</v>
      </c>
      <c r="I500" t="s">
        <v>18</v>
      </c>
      <c r="J500">
        <v>8</v>
      </c>
      <c r="K500">
        <v>2026</v>
      </c>
      <c r="L500">
        <v>10</v>
      </c>
      <c r="M500">
        <v>18</v>
      </c>
      <c r="N500" t="s">
        <v>43</v>
      </c>
      <c r="O500" t="s">
        <v>13</v>
      </c>
      <c r="P500" t="s">
        <v>48</v>
      </c>
      <c r="Q500" t="s">
        <v>54</v>
      </c>
    </row>
    <row r="501" spans="1:17" x14ac:dyDescent="0.35">
      <c r="A501">
        <v>512</v>
      </c>
      <c r="B501">
        <v>6</v>
      </c>
      <c r="C501">
        <v>12</v>
      </c>
      <c r="D501">
        <v>4</v>
      </c>
      <c r="E501" s="1">
        <v>46137.8125</v>
      </c>
      <c r="F501">
        <v>4</v>
      </c>
      <c r="G501">
        <v>36</v>
      </c>
      <c r="H501" t="s">
        <v>22</v>
      </c>
      <c r="I501" t="s">
        <v>27</v>
      </c>
      <c r="J501">
        <v>9</v>
      </c>
      <c r="K501">
        <v>2026</v>
      </c>
      <c r="L501">
        <v>4</v>
      </c>
      <c r="M501">
        <v>19</v>
      </c>
      <c r="N501" t="s">
        <v>23</v>
      </c>
      <c r="O501" t="s">
        <v>24</v>
      </c>
      <c r="P501" t="s">
        <v>57</v>
      </c>
      <c r="Q501" t="s">
        <v>26</v>
      </c>
    </row>
    <row r="502" spans="1:17" x14ac:dyDescent="0.35">
      <c r="A502">
        <v>513</v>
      </c>
      <c r="B502">
        <v>16</v>
      </c>
      <c r="C502">
        <v>12</v>
      </c>
      <c r="D502">
        <v>4</v>
      </c>
      <c r="E502" s="1">
        <v>46240.604166666657</v>
      </c>
      <c r="F502">
        <v>6</v>
      </c>
      <c r="G502">
        <v>48</v>
      </c>
      <c r="H502" t="s">
        <v>22</v>
      </c>
      <c r="I502" t="s">
        <v>27</v>
      </c>
      <c r="J502">
        <v>8</v>
      </c>
      <c r="K502">
        <v>2026</v>
      </c>
      <c r="L502">
        <v>8</v>
      </c>
      <c r="M502">
        <v>14</v>
      </c>
      <c r="N502" t="s">
        <v>41</v>
      </c>
      <c r="O502" t="s">
        <v>13</v>
      </c>
      <c r="P502" t="s">
        <v>57</v>
      </c>
      <c r="Q502" t="s">
        <v>26</v>
      </c>
    </row>
    <row r="503" spans="1:17" x14ac:dyDescent="0.35">
      <c r="A503">
        <v>514</v>
      </c>
      <c r="B503">
        <v>14</v>
      </c>
      <c r="C503">
        <v>14</v>
      </c>
      <c r="D503">
        <v>9</v>
      </c>
      <c r="E503" s="1">
        <v>46184.604166666657</v>
      </c>
      <c r="F503">
        <v>5</v>
      </c>
      <c r="G503">
        <v>40</v>
      </c>
      <c r="H503" t="s">
        <v>22</v>
      </c>
      <c r="I503" t="s">
        <v>27</v>
      </c>
      <c r="J503">
        <v>8</v>
      </c>
      <c r="K503">
        <v>2026</v>
      </c>
      <c r="L503">
        <v>6</v>
      </c>
      <c r="M503">
        <v>14</v>
      </c>
      <c r="N503" t="s">
        <v>41</v>
      </c>
      <c r="O503" t="s">
        <v>13</v>
      </c>
      <c r="P503" t="s">
        <v>29</v>
      </c>
      <c r="Q503" t="s">
        <v>30</v>
      </c>
    </row>
    <row r="504" spans="1:17" x14ac:dyDescent="0.35">
      <c r="A504">
        <v>515</v>
      </c>
      <c r="B504">
        <v>7</v>
      </c>
      <c r="C504">
        <v>2</v>
      </c>
      <c r="D504">
        <v>2</v>
      </c>
      <c r="E504" s="1">
        <v>46195.916666666657</v>
      </c>
      <c r="F504">
        <v>2</v>
      </c>
      <c r="G504">
        <v>18</v>
      </c>
      <c r="H504" t="s">
        <v>22</v>
      </c>
      <c r="I504" t="s">
        <v>27</v>
      </c>
      <c r="J504">
        <v>9</v>
      </c>
      <c r="K504">
        <v>2026</v>
      </c>
      <c r="L504">
        <v>6</v>
      </c>
      <c r="M504">
        <v>22</v>
      </c>
      <c r="N504" t="s">
        <v>33</v>
      </c>
      <c r="O504" t="s">
        <v>13</v>
      </c>
      <c r="P504" t="s">
        <v>44</v>
      </c>
      <c r="Q504" t="s">
        <v>54</v>
      </c>
    </row>
    <row r="505" spans="1:17" x14ac:dyDescent="0.35">
      <c r="A505">
        <v>516</v>
      </c>
      <c r="B505">
        <v>8</v>
      </c>
      <c r="C505">
        <v>11</v>
      </c>
      <c r="D505">
        <v>5</v>
      </c>
      <c r="E505" s="1">
        <v>46261.791666666657</v>
      </c>
      <c r="F505">
        <v>4</v>
      </c>
      <c r="G505">
        <v>32</v>
      </c>
      <c r="H505" t="s">
        <v>22</v>
      </c>
      <c r="I505" t="s">
        <v>18</v>
      </c>
      <c r="J505">
        <v>8</v>
      </c>
      <c r="K505">
        <v>2026</v>
      </c>
      <c r="L505">
        <v>8</v>
      </c>
      <c r="M505">
        <v>19</v>
      </c>
      <c r="N505" t="s">
        <v>41</v>
      </c>
      <c r="O505" t="s">
        <v>13</v>
      </c>
      <c r="P505" t="s">
        <v>59</v>
      </c>
      <c r="Q505" t="s">
        <v>50</v>
      </c>
    </row>
    <row r="506" spans="1:17" x14ac:dyDescent="0.35">
      <c r="A506">
        <v>517</v>
      </c>
      <c r="B506">
        <v>12</v>
      </c>
      <c r="C506">
        <v>18</v>
      </c>
      <c r="D506">
        <v>3</v>
      </c>
      <c r="E506" s="1">
        <v>46294.625</v>
      </c>
      <c r="F506">
        <v>2</v>
      </c>
      <c r="G506">
        <v>16</v>
      </c>
      <c r="H506" t="s">
        <v>22</v>
      </c>
      <c r="I506" t="s">
        <v>18</v>
      </c>
      <c r="J506">
        <v>8</v>
      </c>
      <c r="K506">
        <v>2026</v>
      </c>
      <c r="L506">
        <v>9</v>
      </c>
      <c r="M506">
        <v>15</v>
      </c>
      <c r="N506" t="s">
        <v>37</v>
      </c>
      <c r="O506" t="s">
        <v>13</v>
      </c>
      <c r="P506" t="s">
        <v>47</v>
      </c>
      <c r="Q506" t="s">
        <v>45</v>
      </c>
    </row>
    <row r="507" spans="1:17" x14ac:dyDescent="0.35">
      <c r="A507">
        <v>518</v>
      </c>
      <c r="B507">
        <v>17</v>
      </c>
      <c r="C507">
        <v>1</v>
      </c>
      <c r="D507">
        <v>7</v>
      </c>
      <c r="E507" s="1">
        <v>46134.916666666657</v>
      </c>
      <c r="F507">
        <v>6</v>
      </c>
      <c r="G507">
        <v>54</v>
      </c>
      <c r="H507" t="s">
        <v>22</v>
      </c>
      <c r="I507" t="s">
        <v>18</v>
      </c>
      <c r="J507">
        <v>9</v>
      </c>
      <c r="K507">
        <v>2026</v>
      </c>
      <c r="L507">
        <v>4</v>
      </c>
      <c r="M507">
        <v>22</v>
      </c>
      <c r="N507" t="s">
        <v>19</v>
      </c>
      <c r="O507" t="s">
        <v>13</v>
      </c>
      <c r="P507" t="s">
        <v>39</v>
      </c>
      <c r="Q507" t="s">
        <v>35</v>
      </c>
    </row>
    <row r="508" spans="1:17" x14ac:dyDescent="0.35">
      <c r="A508">
        <v>519</v>
      </c>
      <c r="B508">
        <v>19</v>
      </c>
      <c r="C508">
        <v>16</v>
      </c>
      <c r="D508">
        <v>5</v>
      </c>
      <c r="E508" s="1">
        <v>46146.916666666657</v>
      </c>
      <c r="F508">
        <v>1</v>
      </c>
      <c r="G508">
        <v>9</v>
      </c>
      <c r="H508" t="s">
        <v>22</v>
      </c>
      <c r="I508" t="s">
        <v>27</v>
      </c>
      <c r="J508">
        <v>9</v>
      </c>
      <c r="K508">
        <v>2026</v>
      </c>
      <c r="L508">
        <v>5</v>
      </c>
      <c r="M508">
        <v>22</v>
      </c>
      <c r="N508" t="s">
        <v>33</v>
      </c>
      <c r="O508" t="s">
        <v>13</v>
      </c>
      <c r="P508" t="s">
        <v>51</v>
      </c>
      <c r="Q508" t="s">
        <v>50</v>
      </c>
    </row>
    <row r="509" spans="1:17" x14ac:dyDescent="0.35">
      <c r="A509">
        <v>520</v>
      </c>
      <c r="B509">
        <v>8</v>
      </c>
      <c r="C509">
        <v>3</v>
      </c>
      <c r="D509">
        <v>8</v>
      </c>
      <c r="E509" s="1">
        <v>46354.958333333343</v>
      </c>
      <c r="F509">
        <v>6</v>
      </c>
      <c r="G509">
        <v>60</v>
      </c>
      <c r="H509" t="s">
        <v>22</v>
      </c>
      <c r="I509" t="s">
        <v>18</v>
      </c>
      <c r="J509">
        <v>10</v>
      </c>
      <c r="K509">
        <v>2026</v>
      </c>
      <c r="L509">
        <v>11</v>
      </c>
      <c r="M509">
        <v>23</v>
      </c>
      <c r="N509" t="s">
        <v>23</v>
      </c>
      <c r="O509" t="s">
        <v>24</v>
      </c>
      <c r="P509" t="s">
        <v>20</v>
      </c>
      <c r="Q509" t="s">
        <v>46</v>
      </c>
    </row>
    <row r="510" spans="1:17" x14ac:dyDescent="0.35">
      <c r="A510">
        <v>521</v>
      </c>
      <c r="B510">
        <v>4</v>
      </c>
      <c r="C510">
        <v>13</v>
      </c>
      <c r="D510">
        <v>10</v>
      </c>
      <c r="E510" s="1">
        <v>46099.708333333343</v>
      </c>
      <c r="F510">
        <v>6</v>
      </c>
      <c r="G510">
        <v>48</v>
      </c>
      <c r="H510" t="s">
        <v>22</v>
      </c>
      <c r="I510" t="s">
        <v>27</v>
      </c>
      <c r="J510">
        <v>8</v>
      </c>
      <c r="K510">
        <v>2026</v>
      </c>
      <c r="L510">
        <v>3</v>
      </c>
      <c r="M510">
        <v>17</v>
      </c>
      <c r="N510" t="s">
        <v>19</v>
      </c>
      <c r="O510" t="s">
        <v>13</v>
      </c>
      <c r="P510" t="s">
        <v>49</v>
      </c>
      <c r="Q510" t="s">
        <v>32</v>
      </c>
    </row>
    <row r="511" spans="1:17" x14ac:dyDescent="0.35">
      <c r="A511">
        <v>522</v>
      </c>
      <c r="B511">
        <v>11</v>
      </c>
      <c r="C511">
        <v>4</v>
      </c>
      <c r="D511">
        <v>7</v>
      </c>
      <c r="E511" s="1">
        <v>46209.9375</v>
      </c>
      <c r="F511">
        <v>5</v>
      </c>
      <c r="G511">
        <v>45</v>
      </c>
      <c r="H511" t="s">
        <v>17</v>
      </c>
      <c r="I511" t="s">
        <v>31</v>
      </c>
      <c r="J511">
        <v>9</v>
      </c>
      <c r="K511">
        <v>2026</v>
      </c>
      <c r="L511">
        <v>7</v>
      </c>
      <c r="M511">
        <v>22</v>
      </c>
      <c r="N511" t="s">
        <v>33</v>
      </c>
      <c r="O511" t="s">
        <v>13</v>
      </c>
      <c r="P511" t="s">
        <v>55</v>
      </c>
      <c r="Q511" t="s">
        <v>35</v>
      </c>
    </row>
    <row r="512" spans="1:17" x14ac:dyDescent="0.35">
      <c r="A512">
        <v>523</v>
      </c>
      <c r="B512">
        <v>16</v>
      </c>
      <c r="C512">
        <v>16</v>
      </c>
      <c r="D512">
        <v>6</v>
      </c>
      <c r="E512" s="1">
        <v>46141.583333333343</v>
      </c>
      <c r="F512">
        <v>5</v>
      </c>
      <c r="G512">
        <v>40</v>
      </c>
      <c r="H512" t="s">
        <v>22</v>
      </c>
      <c r="I512" t="s">
        <v>27</v>
      </c>
      <c r="J512">
        <v>8</v>
      </c>
      <c r="K512">
        <v>2026</v>
      </c>
      <c r="L512">
        <v>4</v>
      </c>
      <c r="M512">
        <v>14</v>
      </c>
      <c r="N512" t="s">
        <v>19</v>
      </c>
      <c r="O512" t="s">
        <v>13</v>
      </c>
      <c r="P512" t="s">
        <v>51</v>
      </c>
      <c r="Q512" t="s">
        <v>21</v>
      </c>
    </row>
    <row r="513" spans="1:17" x14ac:dyDescent="0.35">
      <c r="A513">
        <v>524</v>
      </c>
      <c r="B513">
        <v>17</v>
      </c>
      <c r="C513">
        <v>8</v>
      </c>
      <c r="D513">
        <v>1</v>
      </c>
      <c r="E513" s="1">
        <v>46281.854166666657</v>
      </c>
      <c r="F513">
        <v>1</v>
      </c>
      <c r="G513">
        <v>8</v>
      </c>
      <c r="H513" t="s">
        <v>22</v>
      </c>
      <c r="I513" t="s">
        <v>18</v>
      </c>
      <c r="J513">
        <v>8</v>
      </c>
      <c r="K513">
        <v>2026</v>
      </c>
      <c r="L513">
        <v>9</v>
      </c>
      <c r="M513">
        <v>20</v>
      </c>
      <c r="N513" t="s">
        <v>19</v>
      </c>
      <c r="O513" t="s">
        <v>13</v>
      </c>
      <c r="P513" t="s">
        <v>42</v>
      </c>
      <c r="Q513" t="s">
        <v>40</v>
      </c>
    </row>
    <row r="514" spans="1:17" x14ac:dyDescent="0.35">
      <c r="A514">
        <v>525</v>
      </c>
      <c r="B514">
        <v>3</v>
      </c>
      <c r="C514">
        <v>11</v>
      </c>
      <c r="D514">
        <v>9</v>
      </c>
      <c r="E514" s="1">
        <v>46351.645833333343</v>
      </c>
      <c r="F514">
        <v>2</v>
      </c>
      <c r="G514">
        <v>16</v>
      </c>
      <c r="H514" t="s">
        <v>22</v>
      </c>
      <c r="I514" t="s">
        <v>27</v>
      </c>
      <c r="J514">
        <v>8</v>
      </c>
      <c r="K514">
        <v>2026</v>
      </c>
      <c r="L514">
        <v>11</v>
      </c>
      <c r="M514">
        <v>15</v>
      </c>
      <c r="N514" t="s">
        <v>19</v>
      </c>
      <c r="O514" t="s">
        <v>13</v>
      </c>
      <c r="P514" t="s">
        <v>59</v>
      </c>
      <c r="Q514" t="s">
        <v>30</v>
      </c>
    </row>
    <row r="515" spans="1:17" x14ac:dyDescent="0.35">
      <c r="A515">
        <v>526</v>
      </c>
      <c r="B515">
        <v>11</v>
      </c>
      <c r="C515">
        <v>20</v>
      </c>
      <c r="D515">
        <v>2</v>
      </c>
      <c r="E515" s="1">
        <v>46033.666666666657</v>
      </c>
      <c r="F515">
        <v>6</v>
      </c>
      <c r="G515">
        <v>54</v>
      </c>
      <c r="H515" t="s">
        <v>22</v>
      </c>
      <c r="I515" t="s">
        <v>27</v>
      </c>
      <c r="J515">
        <v>9</v>
      </c>
      <c r="K515">
        <v>2026</v>
      </c>
      <c r="L515">
        <v>1</v>
      </c>
      <c r="M515">
        <v>16</v>
      </c>
      <c r="N515" t="s">
        <v>28</v>
      </c>
      <c r="O515" t="s">
        <v>24</v>
      </c>
      <c r="P515" t="s">
        <v>36</v>
      </c>
      <c r="Q515" t="s">
        <v>54</v>
      </c>
    </row>
    <row r="516" spans="1:17" x14ac:dyDescent="0.35">
      <c r="A516">
        <v>527</v>
      </c>
      <c r="B516">
        <v>18</v>
      </c>
      <c r="C516">
        <v>12</v>
      </c>
      <c r="D516">
        <v>4</v>
      </c>
      <c r="E516" s="1">
        <v>46132.8125</v>
      </c>
      <c r="F516">
        <v>3</v>
      </c>
      <c r="G516">
        <v>24</v>
      </c>
      <c r="H516" t="s">
        <v>22</v>
      </c>
      <c r="I516" t="s">
        <v>18</v>
      </c>
      <c r="J516">
        <v>8</v>
      </c>
      <c r="K516">
        <v>2026</v>
      </c>
      <c r="L516">
        <v>4</v>
      </c>
      <c r="M516">
        <v>19</v>
      </c>
      <c r="N516" t="s">
        <v>33</v>
      </c>
      <c r="O516" t="s">
        <v>13</v>
      </c>
      <c r="P516" t="s">
        <v>57</v>
      </c>
      <c r="Q516" t="s">
        <v>26</v>
      </c>
    </row>
    <row r="517" spans="1:17" x14ac:dyDescent="0.35">
      <c r="A517">
        <v>528</v>
      </c>
      <c r="B517">
        <v>7</v>
      </c>
      <c r="C517">
        <v>15</v>
      </c>
      <c r="D517">
        <v>4</v>
      </c>
      <c r="E517" s="1">
        <v>46043.708333333343</v>
      </c>
      <c r="F517">
        <v>4</v>
      </c>
      <c r="G517">
        <v>32</v>
      </c>
      <c r="H517" t="s">
        <v>22</v>
      </c>
      <c r="I517" t="s">
        <v>18</v>
      </c>
      <c r="J517">
        <v>8</v>
      </c>
      <c r="K517">
        <v>2026</v>
      </c>
      <c r="L517">
        <v>1</v>
      </c>
      <c r="M517">
        <v>17</v>
      </c>
      <c r="N517" t="s">
        <v>19</v>
      </c>
      <c r="O517" t="s">
        <v>13</v>
      </c>
      <c r="P517" t="s">
        <v>38</v>
      </c>
      <c r="Q517" t="s">
        <v>26</v>
      </c>
    </row>
    <row r="518" spans="1:17" x14ac:dyDescent="0.35">
      <c r="A518">
        <v>529</v>
      </c>
      <c r="B518">
        <v>6</v>
      </c>
      <c r="C518">
        <v>3</v>
      </c>
      <c r="D518">
        <v>7</v>
      </c>
      <c r="E518" s="1">
        <v>46338.833333333343</v>
      </c>
      <c r="F518">
        <v>6</v>
      </c>
      <c r="G518">
        <v>48</v>
      </c>
      <c r="H518" t="s">
        <v>17</v>
      </c>
      <c r="I518" t="s">
        <v>27</v>
      </c>
      <c r="J518">
        <v>8</v>
      </c>
      <c r="K518">
        <v>2026</v>
      </c>
      <c r="L518">
        <v>11</v>
      </c>
      <c r="M518">
        <v>20</v>
      </c>
      <c r="N518" t="s">
        <v>41</v>
      </c>
      <c r="O518" t="s">
        <v>13</v>
      </c>
      <c r="P518" t="s">
        <v>20</v>
      </c>
      <c r="Q518" t="s">
        <v>35</v>
      </c>
    </row>
    <row r="519" spans="1:17" x14ac:dyDescent="0.35">
      <c r="A519">
        <v>530</v>
      </c>
      <c r="B519">
        <v>4</v>
      </c>
      <c r="C519">
        <v>5</v>
      </c>
      <c r="D519">
        <v>5</v>
      </c>
      <c r="E519" s="1">
        <v>46336.895833333343</v>
      </c>
      <c r="F519">
        <v>3</v>
      </c>
      <c r="G519">
        <v>27</v>
      </c>
      <c r="H519" t="s">
        <v>22</v>
      </c>
      <c r="I519" t="s">
        <v>27</v>
      </c>
      <c r="J519">
        <v>9</v>
      </c>
      <c r="K519">
        <v>2026</v>
      </c>
      <c r="L519">
        <v>11</v>
      </c>
      <c r="M519">
        <v>21</v>
      </c>
      <c r="N519" t="s">
        <v>37</v>
      </c>
      <c r="O519" t="s">
        <v>13</v>
      </c>
      <c r="P519" t="s">
        <v>53</v>
      </c>
      <c r="Q519" t="s">
        <v>50</v>
      </c>
    </row>
    <row r="520" spans="1:17" x14ac:dyDescent="0.35">
      <c r="A520">
        <v>531</v>
      </c>
      <c r="B520">
        <v>15</v>
      </c>
      <c r="C520">
        <v>3</v>
      </c>
      <c r="D520">
        <v>10</v>
      </c>
      <c r="E520" s="1">
        <v>46178.8125</v>
      </c>
      <c r="F520">
        <v>1</v>
      </c>
      <c r="G520">
        <v>8</v>
      </c>
      <c r="H520" t="s">
        <v>22</v>
      </c>
      <c r="I520" t="s">
        <v>18</v>
      </c>
      <c r="J520">
        <v>8</v>
      </c>
      <c r="K520">
        <v>2026</v>
      </c>
      <c r="L520">
        <v>6</v>
      </c>
      <c r="M520">
        <v>19</v>
      </c>
      <c r="N520" t="s">
        <v>43</v>
      </c>
      <c r="O520" t="s">
        <v>13</v>
      </c>
      <c r="P520" t="s">
        <v>20</v>
      </c>
      <c r="Q520" t="s">
        <v>32</v>
      </c>
    </row>
    <row r="521" spans="1:17" x14ac:dyDescent="0.35">
      <c r="A521">
        <v>532</v>
      </c>
      <c r="B521">
        <v>16</v>
      </c>
      <c r="C521">
        <v>16</v>
      </c>
      <c r="D521">
        <v>2</v>
      </c>
      <c r="E521" s="1">
        <v>46078.895833333343</v>
      </c>
      <c r="F521">
        <v>5</v>
      </c>
      <c r="G521">
        <v>45</v>
      </c>
      <c r="H521" t="s">
        <v>22</v>
      </c>
      <c r="I521" t="s">
        <v>31</v>
      </c>
      <c r="J521">
        <v>9</v>
      </c>
      <c r="K521">
        <v>2026</v>
      </c>
      <c r="L521">
        <v>2</v>
      </c>
      <c r="M521">
        <v>21</v>
      </c>
      <c r="N521" t="s">
        <v>19</v>
      </c>
      <c r="O521" t="s">
        <v>13</v>
      </c>
      <c r="P521" t="s">
        <v>51</v>
      </c>
      <c r="Q521" t="s">
        <v>54</v>
      </c>
    </row>
    <row r="522" spans="1:17" x14ac:dyDescent="0.35">
      <c r="A522">
        <v>533</v>
      </c>
      <c r="B522">
        <v>6</v>
      </c>
      <c r="C522">
        <v>5</v>
      </c>
      <c r="D522">
        <v>3</v>
      </c>
      <c r="E522" s="1">
        <v>46131.625</v>
      </c>
      <c r="F522">
        <v>1</v>
      </c>
      <c r="G522">
        <v>9</v>
      </c>
      <c r="H522" t="s">
        <v>22</v>
      </c>
      <c r="I522" t="s">
        <v>18</v>
      </c>
      <c r="J522">
        <v>9</v>
      </c>
      <c r="K522">
        <v>2026</v>
      </c>
      <c r="L522">
        <v>4</v>
      </c>
      <c r="M522">
        <v>15</v>
      </c>
      <c r="N522" t="s">
        <v>28</v>
      </c>
      <c r="O522" t="s">
        <v>24</v>
      </c>
      <c r="P522" t="s">
        <v>53</v>
      </c>
      <c r="Q522" t="s">
        <v>45</v>
      </c>
    </row>
    <row r="523" spans="1:17" x14ac:dyDescent="0.35">
      <c r="A523">
        <v>534</v>
      </c>
      <c r="B523">
        <v>15</v>
      </c>
      <c r="C523">
        <v>17</v>
      </c>
      <c r="D523">
        <v>7</v>
      </c>
      <c r="E523" s="1">
        <v>46065.979166666657</v>
      </c>
      <c r="F523">
        <v>3</v>
      </c>
      <c r="G523">
        <v>27</v>
      </c>
      <c r="H523" t="s">
        <v>22</v>
      </c>
      <c r="I523" t="s">
        <v>18</v>
      </c>
      <c r="J523">
        <v>9</v>
      </c>
      <c r="K523">
        <v>2026</v>
      </c>
      <c r="L523">
        <v>2</v>
      </c>
      <c r="M523">
        <v>23</v>
      </c>
      <c r="N523" t="s">
        <v>41</v>
      </c>
      <c r="O523" t="s">
        <v>13</v>
      </c>
      <c r="P523" t="s">
        <v>56</v>
      </c>
      <c r="Q523" t="s">
        <v>35</v>
      </c>
    </row>
    <row r="524" spans="1:17" x14ac:dyDescent="0.35">
      <c r="A524">
        <v>535</v>
      </c>
      <c r="B524">
        <v>10</v>
      </c>
      <c r="C524">
        <v>2</v>
      </c>
      <c r="D524">
        <v>3</v>
      </c>
      <c r="E524" s="1">
        <v>46130.916666666657</v>
      </c>
      <c r="F524">
        <v>2</v>
      </c>
      <c r="G524">
        <v>20</v>
      </c>
      <c r="H524" t="s">
        <v>22</v>
      </c>
      <c r="I524" t="s">
        <v>18</v>
      </c>
      <c r="J524">
        <v>10</v>
      </c>
      <c r="K524">
        <v>2026</v>
      </c>
      <c r="L524">
        <v>4</v>
      </c>
      <c r="M524">
        <v>22</v>
      </c>
      <c r="N524" t="s">
        <v>23</v>
      </c>
      <c r="O524" t="s">
        <v>24</v>
      </c>
      <c r="P524" t="s">
        <v>44</v>
      </c>
      <c r="Q524" t="s">
        <v>45</v>
      </c>
    </row>
    <row r="525" spans="1:17" x14ac:dyDescent="0.35">
      <c r="A525">
        <v>536</v>
      </c>
      <c r="B525">
        <v>20</v>
      </c>
      <c r="C525">
        <v>4</v>
      </c>
      <c r="D525">
        <v>8</v>
      </c>
      <c r="E525" s="1">
        <v>46276.854166666657</v>
      </c>
      <c r="F525">
        <v>6</v>
      </c>
      <c r="G525">
        <v>48</v>
      </c>
      <c r="H525" t="s">
        <v>22</v>
      </c>
      <c r="I525" t="s">
        <v>27</v>
      </c>
      <c r="J525">
        <v>8</v>
      </c>
      <c r="K525">
        <v>2026</v>
      </c>
      <c r="L525">
        <v>9</v>
      </c>
      <c r="M525">
        <v>20</v>
      </c>
      <c r="N525" t="s">
        <v>43</v>
      </c>
      <c r="O525" t="s">
        <v>13</v>
      </c>
      <c r="P525" t="s">
        <v>55</v>
      </c>
      <c r="Q525" t="s">
        <v>46</v>
      </c>
    </row>
    <row r="526" spans="1:17" x14ac:dyDescent="0.35">
      <c r="A526">
        <v>537</v>
      </c>
      <c r="B526">
        <v>6</v>
      </c>
      <c r="C526">
        <v>15</v>
      </c>
      <c r="D526">
        <v>2</v>
      </c>
      <c r="E526" s="1">
        <v>46350.833333333343</v>
      </c>
      <c r="F526">
        <v>1</v>
      </c>
      <c r="G526">
        <v>8</v>
      </c>
      <c r="H526" t="s">
        <v>22</v>
      </c>
      <c r="I526" t="s">
        <v>18</v>
      </c>
      <c r="J526">
        <v>8</v>
      </c>
      <c r="K526">
        <v>2026</v>
      </c>
      <c r="L526">
        <v>11</v>
      </c>
      <c r="M526">
        <v>20</v>
      </c>
      <c r="N526" t="s">
        <v>37</v>
      </c>
      <c r="O526" t="s">
        <v>13</v>
      </c>
      <c r="P526" t="s">
        <v>38</v>
      </c>
      <c r="Q526" t="s">
        <v>54</v>
      </c>
    </row>
    <row r="527" spans="1:17" x14ac:dyDescent="0.35">
      <c r="A527">
        <v>538</v>
      </c>
      <c r="B527">
        <v>2</v>
      </c>
      <c r="C527">
        <v>6</v>
      </c>
      <c r="D527">
        <v>7</v>
      </c>
      <c r="E527" s="1">
        <v>46043.916666666657</v>
      </c>
      <c r="F527">
        <v>1</v>
      </c>
      <c r="G527">
        <v>9</v>
      </c>
      <c r="H527" t="s">
        <v>22</v>
      </c>
      <c r="I527" t="s">
        <v>31</v>
      </c>
      <c r="J527">
        <v>9</v>
      </c>
      <c r="K527">
        <v>2026</v>
      </c>
      <c r="L527">
        <v>1</v>
      </c>
      <c r="M527">
        <v>22</v>
      </c>
      <c r="N527" t="s">
        <v>19</v>
      </c>
      <c r="O527" t="s">
        <v>13</v>
      </c>
      <c r="P527" t="s">
        <v>52</v>
      </c>
      <c r="Q527" t="s">
        <v>35</v>
      </c>
    </row>
    <row r="528" spans="1:17" x14ac:dyDescent="0.35">
      <c r="A528">
        <v>539</v>
      </c>
      <c r="B528">
        <v>6</v>
      </c>
      <c r="C528">
        <v>16</v>
      </c>
      <c r="D528">
        <v>7</v>
      </c>
      <c r="E528" s="1">
        <v>46232.958333333343</v>
      </c>
      <c r="F528">
        <v>2</v>
      </c>
      <c r="G528">
        <v>18</v>
      </c>
      <c r="H528" t="s">
        <v>22</v>
      </c>
      <c r="I528" t="s">
        <v>27</v>
      </c>
      <c r="J528">
        <v>9</v>
      </c>
      <c r="K528">
        <v>2026</v>
      </c>
      <c r="L528">
        <v>7</v>
      </c>
      <c r="M528">
        <v>23</v>
      </c>
      <c r="N528" t="s">
        <v>19</v>
      </c>
      <c r="O528" t="s">
        <v>13</v>
      </c>
      <c r="P528" t="s">
        <v>51</v>
      </c>
      <c r="Q528" t="s">
        <v>35</v>
      </c>
    </row>
    <row r="529" spans="1:17" x14ac:dyDescent="0.35">
      <c r="A529">
        <v>540</v>
      </c>
      <c r="B529">
        <v>6</v>
      </c>
      <c r="C529">
        <v>1</v>
      </c>
      <c r="D529">
        <v>9</v>
      </c>
      <c r="E529" s="1">
        <v>46338.8125</v>
      </c>
      <c r="F529">
        <v>4</v>
      </c>
      <c r="G529">
        <v>32</v>
      </c>
      <c r="H529" t="s">
        <v>22</v>
      </c>
      <c r="I529" t="s">
        <v>31</v>
      </c>
      <c r="J529">
        <v>8</v>
      </c>
      <c r="K529">
        <v>2026</v>
      </c>
      <c r="L529">
        <v>11</v>
      </c>
      <c r="M529">
        <v>19</v>
      </c>
      <c r="N529" t="s">
        <v>41</v>
      </c>
      <c r="O529" t="s">
        <v>13</v>
      </c>
      <c r="P529" t="s">
        <v>39</v>
      </c>
      <c r="Q529" t="s">
        <v>30</v>
      </c>
    </row>
    <row r="530" spans="1:17" x14ac:dyDescent="0.35">
      <c r="A530">
        <v>541</v>
      </c>
      <c r="B530">
        <v>12</v>
      </c>
      <c r="C530">
        <v>4</v>
      </c>
      <c r="D530">
        <v>8</v>
      </c>
      <c r="E530" s="1">
        <v>46126.916666666657</v>
      </c>
      <c r="F530">
        <v>6</v>
      </c>
      <c r="G530">
        <v>54</v>
      </c>
      <c r="H530" t="s">
        <v>22</v>
      </c>
      <c r="I530" t="s">
        <v>18</v>
      </c>
      <c r="J530">
        <v>9</v>
      </c>
      <c r="K530">
        <v>2026</v>
      </c>
      <c r="L530">
        <v>4</v>
      </c>
      <c r="M530">
        <v>22</v>
      </c>
      <c r="N530" t="s">
        <v>37</v>
      </c>
      <c r="O530" t="s">
        <v>13</v>
      </c>
      <c r="P530" t="s">
        <v>55</v>
      </c>
      <c r="Q530" t="s">
        <v>46</v>
      </c>
    </row>
    <row r="531" spans="1:17" x14ac:dyDescent="0.35">
      <c r="A531">
        <v>542</v>
      </c>
      <c r="B531">
        <v>8</v>
      </c>
      <c r="C531">
        <v>7</v>
      </c>
      <c r="D531">
        <v>1</v>
      </c>
      <c r="E531" s="1">
        <v>46286.6875</v>
      </c>
      <c r="F531">
        <v>3</v>
      </c>
      <c r="G531">
        <v>24</v>
      </c>
      <c r="H531" t="s">
        <v>22</v>
      </c>
      <c r="I531" t="s">
        <v>31</v>
      </c>
      <c r="J531">
        <v>8</v>
      </c>
      <c r="K531">
        <v>2026</v>
      </c>
      <c r="L531">
        <v>9</v>
      </c>
      <c r="M531">
        <v>16</v>
      </c>
      <c r="N531" t="s">
        <v>33</v>
      </c>
      <c r="O531" t="s">
        <v>13</v>
      </c>
      <c r="P531" t="s">
        <v>34</v>
      </c>
      <c r="Q531" t="s">
        <v>40</v>
      </c>
    </row>
    <row r="532" spans="1:17" x14ac:dyDescent="0.35">
      <c r="A532">
        <v>543</v>
      </c>
      <c r="B532">
        <v>11</v>
      </c>
      <c r="C532">
        <v>15</v>
      </c>
      <c r="D532">
        <v>6</v>
      </c>
      <c r="E532" s="1">
        <v>46252.958333333343</v>
      </c>
      <c r="F532">
        <v>1</v>
      </c>
      <c r="G532">
        <v>9</v>
      </c>
      <c r="H532" t="s">
        <v>22</v>
      </c>
      <c r="I532" t="s">
        <v>18</v>
      </c>
      <c r="J532">
        <v>9</v>
      </c>
      <c r="K532">
        <v>2026</v>
      </c>
      <c r="L532">
        <v>8</v>
      </c>
      <c r="M532">
        <v>23</v>
      </c>
      <c r="N532" t="s">
        <v>37</v>
      </c>
      <c r="O532" t="s">
        <v>13</v>
      </c>
      <c r="P532" t="s">
        <v>38</v>
      </c>
      <c r="Q532" t="s">
        <v>21</v>
      </c>
    </row>
    <row r="533" spans="1:17" x14ac:dyDescent="0.35">
      <c r="A533">
        <v>544</v>
      </c>
      <c r="B533">
        <v>3</v>
      </c>
      <c r="C533">
        <v>9</v>
      </c>
      <c r="D533">
        <v>3</v>
      </c>
      <c r="E533" s="1">
        <v>46361.770833333343</v>
      </c>
      <c r="F533">
        <v>5</v>
      </c>
      <c r="G533">
        <v>45</v>
      </c>
      <c r="H533" t="s">
        <v>22</v>
      </c>
      <c r="I533" t="s">
        <v>18</v>
      </c>
      <c r="J533">
        <v>9</v>
      </c>
      <c r="K533">
        <v>2026</v>
      </c>
      <c r="L533">
        <v>12</v>
      </c>
      <c r="M533">
        <v>18</v>
      </c>
      <c r="N533" t="s">
        <v>23</v>
      </c>
      <c r="O533" t="s">
        <v>24</v>
      </c>
      <c r="P533" t="s">
        <v>48</v>
      </c>
      <c r="Q533" t="s">
        <v>45</v>
      </c>
    </row>
    <row r="534" spans="1:17" x14ac:dyDescent="0.35">
      <c r="A534">
        <v>545</v>
      </c>
      <c r="B534">
        <v>2</v>
      </c>
      <c r="C534">
        <v>2</v>
      </c>
      <c r="D534">
        <v>5</v>
      </c>
      <c r="E534" s="1">
        <v>46376.6875</v>
      </c>
      <c r="F534">
        <v>3</v>
      </c>
      <c r="G534">
        <v>27</v>
      </c>
      <c r="H534" t="s">
        <v>22</v>
      </c>
      <c r="I534" t="s">
        <v>31</v>
      </c>
      <c r="J534">
        <v>9</v>
      </c>
      <c r="K534">
        <v>2026</v>
      </c>
      <c r="L534">
        <v>12</v>
      </c>
      <c r="M534">
        <v>16</v>
      </c>
      <c r="N534" t="s">
        <v>28</v>
      </c>
      <c r="O534" t="s">
        <v>24</v>
      </c>
      <c r="P534" t="s">
        <v>44</v>
      </c>
      <c r="Q534" t="s">
        <v>50</v>
      </c>
    </row>
    <row r="535" spans="1:17" x14ac:dyDescent="0.35">
      <c r="A535">
        <v>546</v>
      </c>
      <c r="B535">
        <v>19</v>
      </c>
      <c r="C535">
        <v>1</v>
      </c>
      <c r="D535">
        <v>5</v>
      </c>
      <c r="E535" s="1">
        <v>46100.770833333343</v>
      </c>
      <c r="F535">
        <v>4</v>
      </c>
      <c r="G535">
        <v>32</v>
      </c>
      <c r="H535" t="s">
        <v>22</v>
      </c>
      <c r="I535" t="s">
        <v>31</v>
      </c>
      <c r="J535">
        <v>8</v>
      </c>
      <c r="K535">
        <v>2026</v>
      </c>
      <c r="L535">
        <v>3</v>
      </c>
      <c r="M535">
        <v>18</v>
      </c>
      <c r="N535" t="s">
        <v>41</v>
      </c>
      <c r="O535" t="s">
        <v>13</v>
      </c>
      <c r="P535" t="s">
        <v>39</v>
      </c>
      <c r="Q535" t="s">
        <v>50</v>
      </c>
    </row>
    <row r="536" spans="1:17" x14ac:dyDescent="0.35">
      <c r="A536">
        <v>547</v>
      </c>
      <c r="B536">
        <v>1</v>
      </c>
      <c r="C536">
        <v>12</v>
      </c>
      <c r="D536">
        <v>10</v>
      </c>
      <c r="E536" s="1">
        <v>46113.6875</v>
      </c>
      <c r="F536">
        <v>2</v>
      </c>
      <c r="G536">
        <v>16</v>
      </c>
      <c r="H536" t="s">
        <v>22</v>
      </c>
      <c r="I536" t="s">
        <v>31</v>
      </c>
      <c r="J536">
        <v>8</v>
      </c>
      <c r="K536">
        <v>2026</v>
      </c>
      <c r="L536">
        <v>4</v>
      </c>
      <c r="M536">
        <v>16</v>
      </c>
      <c r="N536" t="s">
        <v>19</v>
      </c>
      <c r="O536" t="s">
        <v>13</v>
      </c>
      <c r="P536" t="s">
        <v>57</v>
      </c>
      <c r="Q536" t="s">
        <v>32</v>
      </c>
    </row>
    <row r="537" spans="1:17" x14ac:dyDescent="0.35">
      <c r="A537">
        <v>548</v>
      </c>
      <c r="B537">
        <v>15</v>
      </c>
      <c r="C537">
        <v>3</v>
      </c>
      <c r="D537">
        <v>4</v>
      </c>
      <c r="E537" s="1">
        <v>46177.6875</v>
      </c>
      <c r="F537">
        <v>1</v>
      </c>
      <c r="G537">
        <v>8</v>
      </c>
      <c r="H537" t="s">
        <v>22</v>
      </c>
      <c r="I537" t="s">
        <v>27</v>
      </c>
      <c r="J537">
        <v>8</v>
      </c>
      <c r="K537">
        <v>2026</v>
      </c>
      <c r="L537">
        <v>6</v>
      </c>
      <c r="M537">
        <v>16</v>
      </c>
      <c r="N537" t="s">
        <v>41</v>
      </c>
      <c r="O537" t="s">
        <v>13</v>
      </c>
      <c r="P537" t="s">
        <v>20</v>
      </c>
      <c r="Q537" t="s">
        <v>26</v>
      </c>
    </row>
    <row r="538" spans="1:17" x14ac:dyDescent="0.35">
      <c r="A538">
        <v>549</v>
      </c>
      <c r="B538">
        <v>5</v>
      </c>
      <c r="C538">
        <v>1</v>
      </c>
      <c r="D538">
        <v>2</v>
      </c>
      <c r="E538" s="1">
        <v>46296.708333333343</v>
      </c>
      <c r="F538">
        <v>3</v>
      </c>
      <c r="G538">
        <v>24</v>
      </c>
      <c r="H538" t="s">
        <v>22</v>
      </c>
      <c r="I538" t="s">
        <v>18</v>
      </c>
      <c r="J538">
        <v>8</v>
      </c>
      <c r="K538">
        <v>2026</v>
      </c>
      <c r="L538">
        <v>10</v>
      </c>
      <c r="M538">
        <v>17</v>
      </c>
      <c r="N538" t="s">
        <v>41</v>
      </c>
      <c r="O538" t="s">
        <v>13</v>
      </c>
      <c r="P538" t="s">
        <v>39</v>
      </c>
      <c r="Q538" t="s">
        <v>54</v>
      </c>
    </row>
    <row r="539" spans="1:17" x14ac:dyDescent="0.35">
      <c r="A539">
        <v>550</v>
      </c>
      <c r="B539">
        <v>14</v>
      </c>
      <c r="C539">
        <v>2</v>
      </c>
      <c r="D539">
        <v>2</v>
      </c>
      <c r="E539" s="1">
        <v>46064.645833333343</v>
      </c>
      <c r="F539">
        <v>2</v>
      </c>
      <c r="G539">
        <v>16</v>
      </c>
      <c r="H539" t="s">
        <v>22</v>
      </c>
      <c r="I539" t="s">
        <v>27</v>
      </c>
      <c r="J539">
        <v>8</v>
      </c>
      <c r="K539">
        <v>2026</v>
      </c>
      <c r="L539">
        <v>2</v>
      </c>
      <c r="M539">
        <v>15</v>
      </c>
      <c r="N539" t="s">
        <v>19</v>
      </c>
      <c r="O539" t="s">
        <v>13</v>
      </c>
      <c r="P539" t="s">
        <v>44</v>
      </c>
      <c r="Q539" t="s">
        <v>54</v>
      </c>
    </row>
    <row r="540" spans="1:17" x14ac:dyDescent="0.35">
      <c r="A540">
        <v>551</v>
      </c>
      <c r="B540">
        <v>7</v>
      </c>
      <c r="C540">
        <v>7</v>
      </c>
      <c r="D540">
        <v>8</v>
      </c>
      <c r="E540" s="1">
        <v>46130.8125</v>
      </c>
      <c r="F540">
        <v>1</v>
      </c>
      <c r="G540">
        <v>9</v>
      </c>
      <c r="H540" t="s">
        <v>22</v>
      </c>
      <c r="I540" t="s">
        <v>27</v>
      </c>
      <c r="J540">
        <v>9</v>
      </c>
      <c r="K540">
        <v>2026</v>
      </c>
      <c r="L540">
        <v>4</v>
      </c>
      <c r="M540">
        <v>19</v>
      </c>
      <c r="N540" t="s">
        <v>23</v>
      </c>
      <c r="O540" t="s">
        <v>24</v>
      </c>
      <c r="P540" t="s">
        <v>34</v>
      </c>
      <c r="Q540" t="s">
        <v>46</v>
      </c>
    </row>
    <row r="541" spans="1:17" x14ac:dyDescent="0.35">
      <c r="A541">
        <v>552</v>
      </c>
      <c r="B541">
        <v>7</v>
      </c>
      <c r="C541">
        <v>18</v>
      </c>
      <c r="D541">
        <v>7</v>
      </c>
      <c r="E541" s="1">
        <v>46148.895833333343</v>
      </c>
      <c r="F541">
        <v>3</v>
      </c>
      <c r="G541">
        <v>27</v>
      </c>
      <c r="H541" t="s">
        <v>22</v>
      </c>
      <c r="I541" t="s">
        <v>27</v>
      </c>
      <c r="J541">
        <v>9</v>
      </c>
      <c r="K541">
        <v>2026</v>
      </c>
      <c r="L541">
        <v>5</v>
      </c>
      <c r="M541">
        <v>21</v>
      </c>
      <c r="N541" t="s">
        <v>19</v>
      </c>
      <c r="O541" t="s">
        <v>13</v>
      </c>
      <c r="P541" t="s">
        <v>47</v>
      </c>
      <c r="Q541" t="s">
        <v>35</v>
      </c>
    </row>
    <row r="542" spans="1:17" x14ac:dyDescent="0.35">
      <c r="A542">
        <v>553</v>
      </c>
      <c r="B542">
        <v>4</v>
      </c>
      <c r="C542">
        <v>8</v>
      </c>
      <c r="D542">
        <v>7</v>
      </c>
      <c r="E542" s="1">
        <v>46260.645833333343</v>
      </c>
      <c r="F542">
        <v>2</v>
      </c>
      <c r="G542">
        <v>16</v>
      </c>
      <c r="H542" t="s">
        <v>22</v>
      </c>
      <c r="I542" t="s">
        <v>27</v>
      </c>
      <c r="J542">
        <v>8</v>
      </c>
      <c r="K542">
        <v>2026</v>
      </c>
      <c r="L542">
        <v>8</v>
      </c>
      <c r="M542">
        <v>15</v>
      </c>
      <c r="N542" t="s">
        <v>19</v>
      </c>
      <c r="O542" t="s">
        <v>13</v>
      </c>
      <c r="P542" t="s">
        <v>42</v>
      </c>
      <c r="Q542" t="s">
        <v>35</v>
      </c>
    </row>
    <row r="543" spans="1:17" x14ac:dyDescent="0.35">
      <c r="A543">
        <v>554</v>
      </c>
      <c r="B543">
        <v>3</v>
      </c>
      <c r="C543">
        <v>1</v>
      </c>
      <c r="D543">
        <v>9</v>
      </c>
      <c r="E543" s="1">
        <v>46074.729166666657</v>
      </c>
      <c r="F543">
        <v>2</v>
      </c>
      <c r="G543">
        <v>18</v>
      </c>
      <c r="H543" t="s">
        <v>22</v>
      </c>
      <c r="I543" t="s">
        <v>27</v>
      </c>
      <c r="J543">
        <v>9</v>
      </c>
      <c r="K543">
        <v>2026</v>
      </c>
      <c r="L543">
        <v>2</v>
      </c>
      <c r="M543">
        <v>17</v>
      </c>
      <c r="N543" t="s">
        <v>23</v>
      </c>
      <c r="O543" t="s">
        <v>24</v>
      </c>
      <c r="P543" t="s">
        <v>39</v>
      </c>
      <c r="Q543" t="s">
        <v>30</v>
      </c>
    </row>
    <row r="544" spans="1:17" x14ac:dyDescent="0.35">
      <c r="A544">
        <v>555</v>
      </c>
      <c r="B544">
        <v>7</v>
      </c>
      <c r="C544">
        <v>13</v>
      </c>
      <c r="D544">
        <v>7</v>
      </c>
      <c r="E544" s="1">
        <v>46317.770833333343</v>
      </c>
      <c r="F544">
        <v>6</v>
      </c>
      <c r="G544">
        <v>48</v>
      </c>
      <c r="H544" t="s">
        <v>22</v>
      </c>
      <c r="I544" t="s">
        <v>31</v>
      </c>
      <c r="J544">
        <v>8</v>
      </c>
      <c r="K544">
        <v>2026</v>
      </c>
      <c r="L544">
        <v>10</v>
      </c>
      <c r="M544">
        <v>18</v>
      </c>
      <c r="N544" t="s">
        <v>41</v>
      </c>
      <c r="O544" t="s">
        <v>13</v>
      </c>
      <c r="P544" t="s">
        <v>49</v>
      </c>
      <c r="Q544" t="s">
        <v>35</v>
      </c>
    </row>
    <row r="545" spans="1:17" x14ac:dyDescent="0.35">
      <c r="A545">
        <v>556</v>
      </c>
      <c r="B545">
        <v>9</v>
      </c>
      <c r="C545">
        <v>10</v>
      </c>
      <c r="D545">
        <v>2</v>
      </c>
      <c r="E545" s="1">
        <v>46149.666666666657</v>
      </c>
      <c r="F545">
        <v>5</v>
      </c>
      <c r="G545">
        <v>40</v>
      </c>
      <c r="H545" t="s">
        <v>22</v>
      </c>
      <c r="I545" t="s">
        <v>27</v>
      </c>
      <c r="J545">
        <v>8</v>
      </c>
      <c r="K545">
        <v>2026</v>
      </c>
      <c r="L545">
        <v>5</v>
      </c>
      <c r="M545">
        <v>16</v>
      </c>
      <c r="N545" t="s">
        <v>41</v>
      </c>
      <c r="O545" t="s">
        <v>13</v>
      </c>
      <c r="P545" t="s">
        <v>25</v>
      </c>
      <c r="Q545" t="s">
        <v>54</v>
      </c>
    </row>
    <row r="546" spans="1:17" x14ac:dyDescent="0.35">
      <c r="A546">
        <v>557</v>
      </c>
      <c r="B546">
        <v>2</v>
      </c>
      <c r="C546">
        <v>18</v>
      </c>
      <c r="D546">
        <v>9</v>
      </c>
      <c r="E546" s="1">
        <v>46237.9375</v>
      </c>
      <c r="F546">
        <v>6</v>
      </c>
      <c r="G546">
        <v>54</v>
      </c>
      <c r="H546" t="s">
        <v>22</v>
      </c>
      <c r="I546" t="s">
        <v>27</v>
      </c>
      <c r="J546">
        <v>9</v>
      </c>
      <c r="K546">
        <v>2026</v>
      </c>
      <c r="L546">
        <v>8</v>
      </c>
      <c r="M546">
        <v>22</v>
      </c>
      <c r="N546" t="s">
        <v>33</v>
      </c>
      <c r="O546" t="s">
        <v>13</v>
      </c>
      <c r="P546" t="s">
        <v>47</v>
      </c>
      <c r="Q546" t="s">
        <v>30</v>
      </c>
    </row>
    <row r="547" spans="1:17" x14ac:dyDescent="0.35">
      <c r="A547">
        <v>558</v>
      </c>
      <c r="B547">
        <v>13</v>
      </c>
      <c r="C547">
        <v>10</v>
      </c>
      <c r="D547">
        <v>6</v>
      </c>
      <c r="E547" s="1">
        <v>46052.604166666657</v>
      </c>
      <c r="F547">
        <v>1</v>
      </c>
      <c r="G547">
        <v>8</v>
      </c>
      <c r="H547" t="s">
        <v>22</v>
      </c>
      <c r="I547" t="s">
        <v>18</v>
      </c>
      <c r="J547">
        <v>8</v>
      </c>
      <c r="K547">
        <v>2026</v>
      </c>
      <c r="L547">
        <v>1</v>
      </c>
      <c r="M547">
        <v>14</v>
      </c>
      <c r="N547" t="s">
        <v>43</v>
      </c>
      <c r="O547" t="s">
        <v>13</v>
      </c>
      <c r="P547" t="s">
        <v>25</v>
      </c>
      <c r="Q547" t="s">
        <v>21</v>
      </c>
    </row>
    <row r="548" spans="1:17" x14ac:dyDescent="0.35">
      <c r="A548">
        <v>559</v>
      </c>
      <c r="B548">
        <v>13</v>
      </c>
      <c r="C548">
        <v>13</v>
      </c>
      <c r="D548">
        <v>7</v>
      </c>
      <c r="E548" s="1">
        <v>46242.729166666657</v>
      </c>
      <c r="F548">
        <v>6</v>
      </c>
      <c r="G548">
        <v>54</v>
      </c>
      <c r="H548" t="s">
        <v>22</v>
      </c>
      <c r="I548" t="s">
        <v>31</v>
      </c>
      <c r="J548">
        <v>9</v>
      </c>
      <c r="K548">
        <v>2026</v>
      </c>
      <c r="L548">
        <v>8</v>
      </c>
      <c r="M548">
        <v>17</v>
      </c>
      <c r="N548" t="s">
        <v>23</v>
      </c>
      <c r="O548" t="s">
        <v>24</v>
      </c>
      <c r="P548" t="s">
        <v>49</v>
      </c>
      <c r="Q548" t="s">
        <v>35</v>
      </c>
    </row>
    <row r="549" spans="1:17" x14ac:dyDescent="0.35">
      <c r="A549">
        <v>560</v>
      </c>
      <c r="B549">
        <v>19</v>
      </c>
      <c r="C549">
        <v>3</v>
      </c>
      <c r="D549">
        <v>1</v>
      </c>
      <c r="E549" s="1">
        <v>46314.958333333343</v>
      </c>
      <c r="F549">
        <v>6</v>
      </c>
      <c r="G549">
        <v>54</v>
      </c>
      <c r="H549" t="s">
        <v>22</v>
      </c>
      <c r="I549" t="s">
        <v>31</v>
      </c>
      <c r="J549">
        <v>9</v>
      </c>
      <c r="K549">
        <v>2026</v>
      </c>
      <c r="L549">
        <v>10</v>
      </c>
      <c r="M549">
        <v>23</v>
      </c>
      <c r="N549" t="s">
        <v>33</v>
      </c>
      <c r="O549" t="s">
        <v>13</v>
      </c>
      <c r="P549" t="s">
        <v>20</v>
      </c>
      <c r="Q549" t="s">
        <v>40</v>
      </c>
    </row>
    <row r="550" spans="1:17" x14ac:dyDescent="0.35">
      <c r="A550">
        <v>561</v>
      </c>
      <c r="B550">
        <v>4</v>
      </c>
      <c r="C550">
        <v>11</v>
      </c>
      <c r="D550">
        <v>10</v>
      </c>
      <c r="E550" s="1">
        <v>46048.875</v>
      </c>
      <c r="F550">
        <v>3</v>
      </c>
      <c r="G550">
        <v>27</v>
      </c>
      <c r="H550" t="s">
        <v>22</v>
      </c>
      <c r="I550" t="s">
        <v>31</v>
      </c>
      <c r="J550">
        <v>9</v>
      </c>
      <c r="K550">
        <v>2026</v>
      </c>
      <c r="L550">
        <v>1</v>
      </c>
      <c r="M550">
        <v>21</v>
      </c>
      <c r="N550" t="s">
        <v>33</v>
      </c>
      <c r="O550" t="s">
        <v>13</v>
      </c>
      <c r="P550" t="s">
        <v>59</v>
      </c>
      <c r="Q550" t="s">
        <v>32</v>
      </c>
    </row>
    <row r="551" spans="1:17" x14ac:dyDescent="0.35">
      <c r="A551">
        <v>562</v>
      </c>
      <c r="B551">
        <v>17</v>
      </c>
      <c r="C551">
        <v>10</v>
      </c>
      <c r="D551">
        <v>3</v>
      </c>
      <c r="E551" s="1">
        <v>46039.833333333343</v>
      </c>
      <c r="F551">
        <v>6</v>
      </c>
      <c r="G551">
        <v>54</v>
      </c>
      <c r="H551" t="s">
        <v>22</v>
      </c>
      <c r="I551" t="s">
        <v>18</v>
      </c>
      <c r="J551">
        <v>9</v>
      </c>
      <c r="K551">
        <v>2026</v>
      </c>
      <c r="L551">
        <v>1</v>
      </c>
      <c r="M551">
        <v>20</v>
      </c>
      <c r="N551" t="s">
        <v>23</v>
      </c>
      <c r="O551" t="s">
        <v>24</v>
      </c>
      <c r="P551" t="s">
        <v>25</v>
      </c>
      <c r="Q551" t="s">
        <v>45</v>
      </c>
    </row>
    <row r="552" spans="1:17" x14ac:dyDescent="0.35">
      <c r="A552">
        <v>563</v>
      </c>
      <c r="B552">
        <v>3</v>
      </c>
      <c r="C552">
        <v>14</v>
      </c>
      <c r="D552">
        <v>8</v>
      </c>
      <c r="E552" s="1">
        <v>46214.604166666657</v>
      </c>
      <c r="F552">
        <v>1</v>
      </c>
      <c r="G552">
        <v>9</v>
      </c>
      <c r="H552" t="s">
        <v>22</v>
      </c>
      <c r="I552" t="s">
        <v>18</v>
      </c>
      <c r="J552">
        <v>9</v>
      </c>
      <c r="K552">
        <v>2026</v>
      </c>
      <c r="L552">
        <v>7</v>
      </c>
      <c r="M552">
        <v>14</v>
      </c>
      <c r="N552" t="s">
        <v>23</v>
      </c>
      <c r="O552" t="s">
        <v>24</v>
      </c>
      <c r="P552" t="s">
        <v>29</v>
      </c>
      <c r="Q552" t="s">
        <v>46</v>
      </c>
    </row>
    <row r="553" spans="1:17" x14ac:dyDescent="0.35">
      <c r="A553">
        <v>564</v>
      </c>
      <c r="B553">
        <v>10</v>
      </c>
      <c r="C553">
        <v>13</v>
      </c>
      <c r="D553">
        <v>5</v>
      </c>
      <c r="E553" s="1">
        <v>46270.958333333343</v>
      </c>
      <c r="F553">
        <v>1</v>
      </c>
      <c r="G553">
        <v>10</v>
      </c>
      <c r="H553" t="s">
        <v>22</v>
      </c>
      <c r="I553" t="s">
        <v>31</v>
      </c>
      <c r="J553">
        <v>10</v>
      </c>
      <c r="K553">
        <v>2026</v>
      </c>
      <c r="L553">
        <v>9</v>
      </c>
      <c r="M553">
        <v>23</v>
      </c>
      <c r="N553" t="s">
        <v>23</v>
      </c>
      <c r="O553" t="s">
        <v>24</v>
      </c>
      <c r="P553" t="s">
        <v>49</v>
      </c>
      <c r="Q553" t="s">
        <v>50</v>
      </c>
    </row>
    <row r="554" spans="1:17" x14ac:dyDescent="0.35">
      <c r="A554">
        <v>565</v>
      </c>
      <c r="B554">
        <v>7</v>
      </c>
      <c r="C554">
        <v>6</v>
      </c>
      <c r="D554">
        <v>5</v>
      </c>
      <c r="E554" s="1">
        <v>46155.729166666657</v>
      </c>
      <c r="F554">
        <v>1</v>
      </c>
      <c r="G554">
        <v>8</v>
      </c>
      <c r="H554" t="s">
        <v>17</v>
      </c>
      <c r="I554" t="s">
        <v>31</v>
      </c>
      <c r="J554">
        <v>8</v>
      </c>
      <c r="K554">
        <v>2026</v>
      </c>
      <c r="L554">
        <v>5</v>
      </c>
      <c r="M554">
        <v>17</v>
      </c>
      <c r="N554" t="s">
        <v>19</v>
      </c>
      <c r="O554" t="s">
        <v>13</v>
      </c>
      <c r="P554" t="s">
        <v>52</v>
      </c>
      <c r="Q554" t="s">
        <v>50</v>
      </c>
    </row>
    <row r="555" spans="1:17" x14ac:dyDescent="0.35">
      <c r="A555">
        <v>566</v>
      </c>
      <c r="B555">
        <v>15</v>
      </c>
      <c r="C555">
        <v>4</v>
      </c>
      <c r="D555">
        <v>1</v>
      </c>
      <c r="E555" s="1">
        <v>46128.916666666657</v>
      </c>
      <c r="F555">
        <v>3</v>
      </c>
      <c r="G555">
        <v>27</v>
      </c>
      <c r="H555" t="s">
        <v>22</v>
      </c>
      <c r="I555" t="s">
        <v>31</v>
      </c>
      <c r="J555">
        <v>9</v>
      </c>
      <c r="K555">
        <v>2026</v>
      </c>
      <c r="L555">
        <v>4</v>
      </c>
      <c r="M555">
        <v>22</v>
      </c>
      <c r="N555" t="s">
        <v>41</v>
      </c>
      <c r="O555" t="s">
        <v>13</v>
      </c>
      <c r="P555" t="s">
        <v>55</v>
      </c>
      <c r="Q555" t="s">
        <v>40</v>
      </c>
    </row>
    <row r="556" spans="1:17" x14ac:dyDescent="0.35">
      <c r="A556">
        <v>567</v>
      </c>
      <c r="B556">
        <v>12</v>
      </c>
      <c r="C556">
        <v>7</v>
      </c>
      <c r="D556">
        <v>3</v>
      </c>
      <c r="E556" s="1">
        <v>46246.791666666657</v>
      </c>
      <c r="F556">
        <v>3</v>
      </c>
      <c r="G556">
        <v>24</v>
      </c>
      <c r="H556" t="s">
        <v>22</v>
      </c>
      <c r="I556" t="s">
        <v>27</v>
      </c>
      <c r="J556">
        <v>8</v>
      </c>
      <c r="K556">
        <v>2026</v>
      </c>
      <c r="L556">
        <v>8</v>
      </c>
      <c r="M556">
        <v>19</v>
      </c>
      <c r="N556" t="s">
        <v>19</v>
      </c>
      <c r="O556" t="s">
        <v>13</v>
      </c>
      <c r="P556" t="s">
        <v>34</v>
      </c>
      <c r="Q556" t="s">
        <v>45</v>
      </c>
    </row>
    <row r="557" spans="1:17" x14ac:dyDescent="0.35">
      <c r="A557">
        <v>568</v>
      </c>
      <c r="B557">
        <v>2</v>
      </c>
      <c r="C557">
        <v>19</v>
      </c>
      <c r="D557">
        <v>9</v>
      </c>
      <c r="E557" s="1">
        <v>46249.958333333343</v>
      </c>
      <c r="F557">
        <v>1</v>
      </c>
      <c r="G557">
        <v>10</v>
      </c>
      <c r="H557" t="s">
        <v>22</v>
      </c>
      <c r="I557" t="s">
        <v>27</v>
      </c>
      <c r="J557">
        <v>10</v>
      </c>
      <c r="K557">
        <v>2026</v>
      </c>
      <c r="L557">
        <v>8</v>
      </c>
      <c r="M557">
        <v>23</v>
      </c>
      <c r="N557" t="s">
        <v>23</v>
      </c>
      <c r="O557" t="s">
        <v>24</v>
      </c>
      <c r="P557" t="s">
        <v>58</v>
      </c>
      <c r="Q557" t="s">
        <v>30</v>
      </c>
    </row>
    <row r="558" spans="1:17" x14ac:dyDescent="0.35">
      <c r="A558">
        <v>569</v>
      </c>
      <c r="B558">
        <v>20</v>
      </c>
      <c r="C558">
        <v>8</v>
      </c>
      <c r="D558">
        <v>10</v>
      </c>
      <c r="E558" s="1">
        <v>46241.916666666657</v>
      </c>
      <c r="F558">
        <v>4</v>
      </c>
      <c r="G558">
        <v>36</v>
      </c>
      <c r="H558" t="s">
        <v>22</v>
      </c>
      <c r="I558" t="s">
        <v>27</v>
      </c>
      <c r="J558">
        <v>9</v>
      </c>
      <c r="K558">
        <v>2026</v>
      </c>
      <c r="L558">
        <v>8</v>
      </c>
      <c r="M558">
        <v>22</v>
      </c>
      <c r="N558" t="s">
        <v>43</v>
      </c>
      <c r="O558" t="s">
        <v>13</v>
      </c>
      <c r="P558" t="s">
        <v>42</v>
      </c>
      <c r="Q558" t="s">
        <v>32</v>
      </c>
    </row>
    <row r="559" spans="1:17" x14ac:dyDescent="0.35">
      <c r="A559">
        <v>570</v>
      </c>
      <c r="B559">
        <v>7</v>
      </c>
      <c r="C559">
        <v>19</v>
      </c>
      <c r="D559">
        <v>9</v>
      </c>
      <c r="E559" s="1">
        <v>46311.895833333343</v>
      </c>
      <c r="F559">
        <v>5</v>
      </c>
      <c r="G559">
        <v>45</v>
      </c>
      <c r="H559" t="s">
        <v>22</v>
      </c>
      <c r="I559" t="s">
        <v>27</v>
      </c>
      <c r="J559">
        <v>9</v>
      </c>
      <c r="K559">
        <v>2026</v>
      </c>
      <c r="L559">
        <v>10</v>
      </c>
      <c r="M559">
        <v>21</v>
      </c>
      <c r="N559" t="s">
        <v>43</v>
      </c>
      <c r="O559" t="s">
        <v>13</v>
      </c>
      <c r="P559" t="s">
        <v>58</v>
      </c>
      <c r="Q559" t="s">
        <v>30</v>
      </c>
    </row>
    <row r="560" spans="1:17" x14ac:dyDescent="0.35">
      <c r="A560">
        <v>571</v>
      </c>
      <c r="B560">
        <v>15</v>
      </c>
      <c r="C560">
        <v>7</v>
      </c>
      <c r="D560">
        <v>3</v>
      </c>
      <c r="E560" s="1">
        <v>46242.958333333343</v>
      </c>
      <c r="F560">
        <v>2</v>
      </c>
      <c r="G560">
        <v>20</v>
      </c>
      <c r="H560" t="s">
        <v>22</v>
      </c>
      <c r="I560" t="s">
        <v>31</v>
      </c>
      <c r="J560">
        <v>10</v>
      </c>
      <c r="K560">
        <v>2026</v>
      </c>
      <c r="L560">
        <v>8</v>
      </c>
      <c r="M560">
        <v>23</v>
      </c>
      <c r="N560" t="s">
        <v>23</v>
      </c>
      <c r="O560" t="s">
        <v>24</v>
      </c>
      <c r="P560" t="s">
        <v>34</v>
      </c>
      <c r="Q560" t="s">
        <v>45</v>
      </c>
    </row>
    <row r="561" spans="1:17" x14ac:dyDescent="0.35">
      <c r="A561">
        <v>572</v>
      </c>
      <c r="B561">
        <v>15</v>
      </c>
      <c r="C561">
        <v>15</v>
      </c>
      <c r="D561">
        <v>5</v>
      </c>
      <c r="E561" s="1">
        <v>46131.645833333343</v>
      </c>
      <c r="F561">
        <v>4</v>
      </c>
      <c r="G561">
        <v>36</v>
      </c>
      <c r="H561" t="s">
        <v>22</v>
      </c>
      <c r="I561" t="s">
        <v>31</v>
      </c>
      <c r="J561">
        <v>9</v>
      </c>
      <c r="K561">
        <v>2026</v>
      </c>
      <c r="L561">
        <v>4</v>
      </c>
      <c r="M561">
        <v>15</v>
      </c>
      <c r="N561" t="s">
        <v>28</v>
      </c>
      <c r="O561" t="s">
        <v>24</v>
      </c>
      <c r="P561" t="s">
        <v>38</v>
      </c>
      <c r="Q561" t="s">
        <v>50</v>
      </c>
    </row>
    <row r="562" spans="1:17" x14ac:dyDescent="0.35">
      <c r="A562">
        <v>573</v>
      </c>
      <c r="B562">
        <v>6</v>
      </c>
      <c r="C562">
        <v>16</v>
      </c>
      <c r="D562">
        <v>4</v>
      </c>
      <c r="E562" s="1">
        <v>46141.770833333343</v>
      </c>
      <c r="F562">
        <v>5</v>
      </c>
      <c r="G562">
        <v>40</v>
      </c>
      <c r="H562" t="s">
        <v>22</v>
      </c>
      <c r="I562" t="s">
        <v>18</v>
      </c>
      <c r="J562">
        <v>8</v>
      </c>
      <c r="K562">
        <v>2026</v>
      </c>
      <c r="L562">
        <v>4</v>
      </c>
      <c r="M562">
        <v>18</v>
      </c>
      <c r="N562" t="s">
        <v>19</v>
      </c>
      <c r="O562" t="s">
        <v>13</v>
      </c>
      <c r="P562" t="s">
        <v>51</v>
      </c>
      <c r="Q562" t="s">
        <v>26</v>
      </c>
    </row>
    <row r="563" spans="1:17" x14ac:dyDescent="0.35">
      <c r="A563">
        <v>574</v>
      </c>
      <c r="B563">
        <v>2</v>
      </c>
      <c r="C563">
        <v>9</v>
      </c>
      <c r="D563">
        <v>1</v>
      </c>
      <c r="E563" s="1">
        <v>46325.875</v>
      </c>
      <c r="F563">
        <v>5</v>
      </c>
      <c r="G563">
        <v>45</v>
      </c>
      <c r="H563" t="s">
        <v>22</v>
      </c>
      <c r="I563" t="s">
        <v>27</v>
      </c>
      <c r="J563">
        <v>9</v>
      </c>
      <c r="K563">
        <v>2026</v>
      </c>
      <c r="L563">
        <v>10</v>
      </c>
      <c r="M563">
        <v>21</v>
      </c>
      <c r="N563" t="s">
        <v>43</v>
      </c>
      <c r="O563" t="s">
        <v>13</v>
      </c>
      <c r="P563" t="s">
        <v>48</v>
      </c>
      <c r="Q563" t="s">
        <v>40</v>
      </c>
    </row>
    <row r="564" spans="1:17" x14ac:dyDescent="0.35">
      <c r="A564">
        <v>575</v>
      </c>
      <c r="B564">
        <v>8</v>
      </c>
      <c r="C564">
        <v>7</v>
      </c>
      <c r="D564">
        <v>2</v>
      </c>
      <c r="E564" s="1">
        <v>46349.625</v>
      </c>
      <c r="F564">
        <v>5</v>
      </c>
      <c r="G564">
        <v>40</v>
      </c>
      <c r="H564" t="s">
        <v>22</v>
      </c>
      <c r="I564" t="s">
        <v>27</v>
      </c>
      <c r="J564">
        <v>8</v>
      </c>
      <c r="K564">
        <v>2026</v>
      </c>
      <c r="L564">
        <v>11</v>
      </c>
      <c r="M564">
        <v>15</v>
      </c>
      <c r="N564" t="s">
        <v>33</v>
      </c>
      <c r="O564" t="s">
        <v>13</v>
      </c>
      <c r="P564" t="s">
        <v>34</v>
      </c>
      <c r="Q564" t="s">
        <v>54</v>
      </c>
    </row>
    <row r="565" spans="1:17" x14ac:dyDescent="0.35">
      <c r="A565">
        <v>576</v>
      </c>
      <c r="B565">
        <v>6</v>
      </c>
      <c r="C565">
        <v>1</v>
      </c>
      <c r="D565">
        <v>1</v>
      </c>
      <c r="E565" s="1">
        <v>46081.645833333343</v>
      </c>
      <c r="F565">
        <v>2</v>
      </c>
      <c r="G565">
        <v>18</v>
      </c>
      <c r="H565" t="s">
        <v>22</v>
      </c>
      <c r="I565" t="s">
        <v>31</v>
      </c>
      <c r="J565">
        <v>9</v>
      </c>
      <c r="K565">
        <v>2026</v>
      </c>
      <c r="L565">
        <v>2</v>
      </c>
      <c r="M565">
        <v>15</v>
      </c>
      <c r="N565" t="s">
        <v>23</v>
      </c>
      <c r="O565" t="s">
        <v>24</v>
      </c>
      <c r="P565" t="s">
        <v>39</v>
      </c>
      <c r="Q565" t="s">
        <v>40</v>
      </c>
    </row>
    <row r="566" spans="1:17" x14ac:dyDescent="0.35">
      <c r="A566">
        <v>577</v>
      </c>
      <c r="B566">
        <v>9</v>
      </c>
      <c r="C566">
        <v>14</v>
      </c>
      <c r="D566">
        <v>3</v>
      </c>
      <c r="E566" s="1">
        <v>46107.625</v>
      </c>
      <c r="F566">
        <v>2</v>
      </c>
      <c r="G566">
        <v>16</v>
      </c>
      <c r="H566" t="s">
        <v>22</v>
      </c>
      <c r="I566" t="s">
        <v>27</v>
      </c>
      <c r="J566">
        <v>8</v>
      </c>
      <c r="K566">
        <v>2026</v>
      </c>
      <c r="L566">
        <v>3</v>
      </c>
      <c r="M566">
        <v>15</v>
      </c>
      <c r="N566" t="s">
        <v>41</v>
      </c>
      <c r="O566" t="s">
        <v>13</v>
      </c>
      <c r="P566" t="s">
        <v>29</v>
      </c>
      <c r="Q566" t="s">
        <v>45</v>
      </c>
    </row>
    <row r="567" spans="1:17" x14ac:dyDescent="0.35">
      <c r="A567">
        <v>578</v>
      </c>
      <c r="B567">
        <v>17</v>
      </c>
      <c r="C567">
        <v>4</v>
      </c>
      <c r="D567">
        <v>6</v>
      </c>
      <c r="E567" s="1">
        <v>46053.895833333343</v>
      </c>
      <c r="F567">
        <v>2</v>
      </c>
      <c r="G567">
        <v>20</v>
      </c>
      <c r="H567" t="s">
        <v>22</v>
      </c>
      <c r="I567" t="s">
        <v>31</v>
      </c>
      <c r="J567">
        <v>10</v>
      </c>
      <c r="K567">
        <v>2026</v>
      </c>
      <c r="L567">
        <v>1</v>
      </c>
      <c r="M567">
        <v>21</v>
      </c>
      <c r="N567" t="s">
        <v>23</v>
      </c>
      <c r="O567" t="s">
        <v>24</v>
      </c>
      <c r="P567" t="s">
        <v>55</v>
      </c>
      <c r="Q567" t="s">
        <v>21</v>
      </c>
    </row>
    <row r="568" spans="1:17" x14ac:dyDescent="0.35">
      <c r="A568">
        <v>579</v>
      </c>
      <c r="B568">
        <v>7</v>
      </c>
      <c r="C568">
        <v>1</v>
      </c>
      <c r="D568">
        <v>3</v>
      </c>
      <c r="E568" s="1">
        <v>46252.875</v>
      </c>
      <c r="F568">
        <v>1</v>
      </c>
      <c r="G568">
        <v>9</v>
      </c>
      <c r="H568" t="s">
        <v>17</v>
      </c>
      <c r="I568" t="s">
        <v>18</v>
      </c>
      <c r="J568">
        <v>9</v>
      </c>
      <c r="K568">
        <v>2026</v>
      </c>
      <c r="L568">
        <v>8</v>
      </c>
      <c r="M568">
        <v>21</v>
      </c>
      <c r="N568" t="s">
        <v>37</v>
      </c>
      <c r="O568" t="s">
        <v>13</v>
      </c>
      <c r="P568" t="s">
        <v>39</v>
      </c>
      <c r="Q568" t="s">
        <v>45</v>
      </c>
    </row>
    <row r="569" spans="1:17" x14ac:dyDescent="0.35">
      <c r="A569">
        <v>580</v>
      </c>
      <c r="B569">
        <v>4</v>
      </c>
      <c r="C569">
        <v>18</v>
      </c>
      <c r="D569">
        <v>3</v>
      </c>
      <c r="E569" s="1">
        <v>46098.916666666657</v>
      </c>
      <c r="F569">
        <v>1</v>
      </c>
      <c r="G569">
        <v>9</v>
      </c>
      <c r="H569" t="s">
        <v>22</v>
      </c>
      <c r="I569" t="s">
        <v>31</v>
      </c>
      <c r="J569">
        <v>9</v>
      </c>
      <c r="K569">
        <v>2026</v>
      </c>
      <c r="L569">
        <v>3</v>
      </c>
      <c r="M569">
        <v>22</v>
      </c>
      <c r="N569" t="s">
        <v>37</v>
      </c>
      <c r="O569" t="s">
        <v>13</v>
      </c>
      <c r="P569" t="s">
        <v>47</v>
      </c>
      <c r="Q569" t="s">
        <v>45</v>
      </c>
    </row>
    <row r="570" spans="1:17" x14ac:dyDescent="0.35">
      <c r="A570">
        <v>581</v>
      </c>
      <c r="B570">
        <v>12</v>
      </c>
      <c r="C570">
        <v>5</v>
      </c>
      <c r="D570">
        <v>2</v>
      </c>
      <c r="E570" s="1">
        <v>46257.979166666657</v>
      </c>
      <c r="F570">
        <v>6</v>
      </c>
      <c r="G570">
        <v>60</v>
      </c>
      <c r="H570" t="s">
        <v>22</v>
      </c>
      <c r="I570" t="s">
        <v>18</v>
      </c>
      <c r="J570">
        <v>10</v>
      </c>
      <c r="K570">
        <v>2026</v>
      </c>
      <c r="L570">
        <v>8</v>
      </c>
      <c r="M570">
        <v>23</v>
      </c>
      <c r="N570" t="s">
        <v>28</v>
      </c>
      <c r="O570" t="s">
        <v>24</v>
      </c>
      <c r="P570" t="s">
        <v>53</v>
      </c>
      <c r="Q570" t="s">
        <v>54</v>
      </c>
    </row>
    <row r="571" spans="1:17" x14ac:dyDescent="0.35">
      <c r="A571">
        <v>582</v>
      </c>
      <c r="B571">
        <v>16</v>
      </c>
      <c r="C571">
        <v>8</v>
      </c>
      <c r="D571">
        <v>3</v>
      </c>
      <c r="E571" s="1">
        <v>46376.75</v>
      </c>
      <c r="F571">
        <v>6</v>
      </c>
      <c r="G571">
        <v>54</v>
      </c>
      <c r="H571" t="s">
        <v>22</v>
      </c>
      <c r="I571" t="s">
        <v>27</v>
      </c>
      <c r="J571">
        <v>9</v>
      </c>
      <c r="K571">
        <v>2026</v>
      </c>
      <c r="L571">
        <v>12</v>
      </c>
      <c r="M571">
        <v>18</v>
      </c>
      <c r="N571" t="s">
        <v>28</v>
      </c>
      <c r="O571" t="s">
        <v>24</v>
      </c>
      <c r="P571" t="s">
        <v>42</v>
      </c>
      <c r="Q571" t="s">
        <v>45</v>
      </c>
    </row>
    <row r="572" spans="1:17" x14ac:dyDescent="0.35">
      <c r="A572">
        <v>583</v>
      </c>
      <c r="B572">
        <v>20</v>
      </c>
      <c r="C572">
        <v>9</v>
      </c>
      <c r="D572">
        <v>10</v>
      </c>
      <c r="E572" s="1">
        <v>46065.958333333343</v>
      </c>
      <c r="F572">
        <v>2</v>
      </c>
      <c r="G572">
        <v>18</v>
      </c>
      <c r="H572" t="s">
        <v>22</v>
      </c>
      <c r="I572" t="s">
        <v>31</v>
      </c>
      <c r="J572">
        <v>9</v>
      </c>
      <c r="K572">
        <v>2026</v>
      </c>
      <c r="L572">
        <v>2</v>
      </c>
      <c r="M572">
        <v>23</v>
      </c>
      <c r="N572" t="s">
        <v>41</v>
      </c>
      <c r="O572" t="s">
        <v>13</v>
      </c>
      <c r="P572" t="s">
        <v>48</v>
      </c>
      <c r="Q572" t="s">
        <v>32</v>
      </c>
    </row>
    <row r="573" spans="1:17" x14ac:dyDescent="0.35">
      <c r="A573">
        <v>584</v>
      </c>
      <c r="B573">
        <v>11</v>
      </c>
      <c r="C573">
        <v>20</v>
      </c>
      <c r="D573">
        <v>3</v>
      </c>
      <c r="E573" s="1">
        <v>46315.6875</v>
      </c>
      <c r="F573">
        <v>2</v>
      </c>
      <c r="G573">
        <v>16</v>
      </c>
      <c r="H573" t="s">
        <v>22</v>
      </c>
      <c r="I573" t="s">
        <v>31</v>
      </c>
      <c r="J573">
        <v>8</v>
      </c>
      <c r="K573">
        <v>2026</v>
      </c>
      <c r="L573">
        <v>10</v>
      </c>
      <c r="M573">
        <v>16</v>
      </c>
      <c r="N573" t="s">
        <v>37</v>
      </c>
      <c r="O573" t="s">
        <v>13</v>
      </c>
      <c r="P573" t="s">
        <v>36</v>
      </c>
      <c r="Q573" t="s">
        <v>45</v>
      </c>
    </row>
    <row r="574" spans="1:17" x14ac:dyDescent="0.35">
      <c r="A574">
        <v>585</v>
      </c>
      <c r="B574">
        <v>7</v>
      </c>
      <c r="C574">
        <v>4</v>
      </c>
      <c r="D574">
        <v>8</v>
      </c>
      <c r="E574" s="1">
        <v>46387.895833333343</v>
      </c>
      <c r="F574">
        <v>1</v>
      </c>
      <c r="G574">
        <v>9</v>
      </c>
      <c r="H574" t="s">
        <v>22</v>
      </c>
      <c r="I574" t="s">
        <v>27</v>
      </c>
      <c r="J574">
        <v>9</v>
      </c>
      <c r="K574">
        <v>2026</v>
      </c>
      <c r="L574">
        <v>12</v>
      </c>
      <c r="M574">
        <v>21</v>
      </c>
      <c r="N574" t="s">
        <v>41</v>
      </c>
      <c r="O574" t="s">
        <v>13</v>
      </c>
      <c r="P574" t="s">
        <v>55</v>
      </c>
      <c r="Q574" t="s">
        <v>46</v>
      </c>
    </row>
    <row r="575" spans="1:17" x14ac:dyDescent="0.35">
      <c r="A575">
        <v>586</v>
      </c>
      <c r="B575">
        <v>7</v>
      </c>
      <c r="C575">
        <v>2</v>
      </c>
      <c r="D575">
        <v>9</v>
      </c>
      <c r="E575" s="1">
        <v>46379.9375</v>
      </c>
      <c r="F575">
        <v>4</v>
      </c>
      <c r="G575">
        <v>36</v>
      </c>
      <c r="H575" t="s">
        <v>22</v>
      </c>
      <c r="I575" t="s">
        <v>31</v>
      </c>
      <c r="J575">
        <v>9</v>
      </c>
      <c r="K575">
        <v>2026</v>
      </c>
      <c r="L575">
        <v>12</v>
      </c>
      <c r="M575">
        <v>22</v>
      </c>
      <c r="N575" t="s">
        <v>19</v>
      </c>
      <c r="O575" t="s">
        <v>13</v>
      </c>
      <c r="P575" t="s">
        <v>44</v>
      </c>
      <c r="Q575" t="s">
        <v>30</v>
      </c>
    </row>
    <row r="576" spans="1:17" x14ac:dyDescent="0.35">
      <c r="A576">
        <v>587</v>
      </c>
      <c r="B576">
        <v>11</v>
      </c>
      <c r="C576">
        <v>17</v>
      </c>
      <c r="D576">
        <v>4</v>
      </c>
      <c r="E576" s="1">
        <v>46203.958333333343</v>
      </c>
      <c r="F576">
        <v>5</v>
      </c>
      <c r="G576">
        <v>45</v>
      </c>
      <c r="H576" t="s">
        <v>22</v>
      </c>
      <c r="I576" t="s">
        <v>18</v>
      </c>
      <c r="J576">
        <v>9</v>
      </c>
      <c r="K576">
        <v>2026</v>
      </c>
      <c r="L576">
        <v>6</v>
      </c>
      <c r="M576">
        <v>23</v>
      </c>
      <c r="N576" t="s">
        <v>37</v>
      </c>
      <c r="O576" t="s">
        <v>13</v>
      </c>
      <c r="P576" t="s">
        <v>56</v>
      </c>
      <c r="Q576" t="s">
        <v>26</v>
      </c>
    </row>
    <row r="577" spans="1:17" x14ac:dyDescent="0.35">
      <c r="A577">
        <v>588</v>
      </c>
      <c r="B577">
        <v>15</v>
      </c>
      <c r="C577">
        <v>17</v>
      </c>
      <c r="D577">
        <v>6</v>
      </c>
      <c r="E577" s="1">
        <v>46119.9375</v>
      </c>
      <c r="F577">
        <v>4</v>
      </c>
      <c r="G577">
        <v>36</v>
      </c>
      <c r="H577" t="s">
        <v>22</v>
      </c>
      <c r="I577" t="s">
        <v>18</v>
      </c>
      <c r="J577">
        <v>9</v>
      </c>
      <c r="K577">
        <v>2026</v>
      </c>
      <c r="L577">
        <v>4</v>
      </c>
      <c r="M577">
        <v>22</v>
      </c>
      <c r="N577" t="s">
        <v>37</v>
      </c>
      <c r="O577" t="s">
        <v>13</v>
      </c>
      <c r="P577" t="s">
        <v>56</v>
      </c>
      <c r="Q577" t="s">
        <v>21</v>
      </c>
    </row>
    <row r="578" spans="1:17" x14ac:dyDescent="0.35">
      <c r="A578">
        <v>589</v>
      </c>
      <c r="B578">
        <v>14</v>
      </c>
      <c r="C578">
        <v>16</v>
      </c>
      <c r="D578">
        <v>5</v>
      </c>
      <c r="E578" s="1">
        <v>46069.770833333343</v>
      </c>
      <c r="F578">
        <v>5</v>
      </c>
      <c r="G578">
        <v>40</v>
      </c>
      <c r="H578" t="s">
        <v>22</v>
      </c>
      <c r="I578" t="s">
        <v>18</v>
      </c>
      <c r="J578">
        <v>8</v>
      </c>
      <c r="K578">
        <v>2026</v>
      </c>
      <c r="L578">
        <v>2</v>
      </c>
      <c r="M578">
        <v>18</v>
      </c>
      <c r="N578" t="s">
        <v>33</v>
      </c>
      <c r="O578" t="s">
        <v>13</v>
      </c>
      <c r="P578" t="s">
        <v>51</v>
      </c>
      <c r="Q578" t="s">
        <v>50</v>
      </c>
    </row>
    <row r="579" spans="1:17" x14ac:dyDescent="0.35">
      <c r="A579">
        <v>590</v>
      </c>
      <c r="B579">
        <v>9</v>
      </c>
      <c r="C579">
        <v>8</v>
      </c>
      <c r="D579">
        <v>10</v>
      </c>
      <c r="E579" s="1">
        <v>46301.6875</v>
      </c>
      <c r="F579">
        <v>4</v>
      </c>
      <c r="G579">
        <v>32</v>
      </c>
      <c r="H579" t="s">
        <v>22</v>
      </c>
      <c r="I579" t="s">
        <v>18</v>
      </c>
      <c r="J579">
        <v>8</v>
      </c>
      <c r="K579">
        <v>2026</v>
      </c>
      <c r="L579">
        <v>10</v>
      </c>
      <c r="M579">
        <v>16</v>
      </c>
      <c r="N579" t="s">
        <v>37</v>
      </c>
      <c r="O579" t="s">
        <v>13</v>
      </c>
      <c r="P579" t="s">
        <v>42</v>
      </c>
      <c r="Q579" t="s">
        <v>32</v>
      </c>
    </row>
    <row r="580" spans="1:17" x14ac:dyDescent="0.35">
      <c r="A580">
        <v>591</v>
      </c>
      <c r="B580">
        <v>11</v>
      </c>
      <c r="C580">
        <v>11</v>
      </c>
      <c r="D580">
        <v>7</v>
      </c>
      <c r="E580" s="1">
        <v>46225.645833333343</v>
      </c>
      <c r="F580">
        <v>3</v>
      </c>
      <c r="G580">
        <v>24</v>
      </c>
      <c r="H580" t="s">
        <v>22</v>
      </c>
      <c r="I580" t="s">
        <v>18</v>
      </c>
      <c r="J580">
        <v>8</v>
      </c>
      <c r="K580">
        <v>2026</v>
      </c>
      <c r="L580">
        <v>7</v>
      </c>
      <c r="M580">
        <v>15</v>
      </c>
      <c r="N580" t="s">
        <v>19</v>
      </c>
      <c r="O580" t="s">
        <v>13</v>
      </c>
      <c r="P580" t="s">
        <v>59</v>
      </c>
      <c r="Q580" t="s">
        <v>35</v>
      </c>
    </row>
    <row r="581" spans="1:17" x14ac:dyDescent="0.35">
      <c r="A581">
        <v>592</v>
      </c>
      <c r="B581">
        <v>18</v>
      </c>
      <c r="C581">
        <v>5</v>
      </c>
      <c r="D581">
        <v>3</v>
      </c>
      <c r="E581" s="1">
        <v>46053.979166666657</v>
      </c>
      <c r="F581">
        <v>2</v>
      </c>
      <c r="G581">
        <v>20</v>
      </c>
      <c r="H581" t="s">
        <v>22</v>
      </c>
      <c r="I581" t="s">
        <v>18</v>
      </c>
      <c r="J581">
        <v>10</v>
      </c>
      <c r="K581">
        <v>2026</v>
      </c>
      <c r="L581">
        <v>1</v>
      </c>
      <c r="M581">
        <v>23</v>
      </c>
      <c r="N581" t="s">
        <v>23</v>
      </c>
      <c r="O581" t="s">
        <v>24</v>
      </c>
      <c r="P581" t="s">
        <v>53</v>
      </c>
      <c r="Q581" t="s">
        <v>45</v>
      </c>
    </row>
    <row r="582" spans="1:17" x14ac:dyDescent="0.35">
      <c r="A582">
        <v>593</v>
      </c>
      <c r="B582">
        <v>11</v>
      </c>
      <c r="C582">
        <v>7</v>
      </c>
      <c r="D582">
        <v>7</v>
      </c>
      <c r="E582" s="1">
        <v>46133.729166666657</v>
      </c>
      <c r="F582">
        <v>3</v>
      </c>
      <c r="G582">
        <v>24</v>
      </c>
      <c r="H582" t="s">
        <v>22</v>
      </c>
      <c r="I582" t="s">
        <v>27</v>
      </c>
      <c r="J582">
        <v>8</v>
      </c>
      <c r="K582">
        <v>2026</v>
      </c>
      <c r="L582">
        <v>4</v>
      </c>
      <c r="M582">
        <v>17</v>
      </c>
      <c r="N582" t="s">
        <v>37</v>
      </c>
      <c r="O582" t="s">
        <v>13</v>
      </c>
      <c r="P582" t="s">
        <v>34</v>
      </c>
      <c r="Q582" t="s">
        <v>35</v>
      </c>
    </row>
    <row r="583" spans="1:17" x14ac:dyDescent="0.35">
      <c r="A583">
        <v>594</v>
      </c>
      <c r="B583">
        <v>13</v>
      </c>
      <c r="C583">
        <v>19</v>
      </c>
      <c r="D583">
        <v>10</v>
      </c>
      <c r="E583" s="1">
        <v>46090.833333333343</v>
      </c>
      <c r="F583">
        <v>3</v>
      </c>
      <c r="G583">
        <v>24</v>
      </c>
      <c r="H583" t="s">
        <v>22</v>
      </c>
      <c r="I583" t="s">
        <v>18</v>
      </c>
      <c r="J583">
        <v>8</v>
      </c>
      <c r="K583">
        <v>2026</v>
      </c>
      <c r="L583">
        <v>3</v>
      </c>
      <c r="M583">
        <v>20</v>
      </c>
      <c r="N583" t="s">
        <v>33</v>
      </c>
      <c r="O583" t="s">
        <v>13</v>
      </c>
      <c r="P583" t="s">
        <v>58</v>
      </c>
      <c r="Q583" t="s">
        <v>32</v>
      </c>
    </row>
    <row r="584" spans="1:17" x14ac:dyDescent="0.35">
      <c r="A584">
        <v>595</v>
      </c>
      <c r="B584">
        <v>1</v>
      </c>
      <c r="C584">
        <v>5</v>
      </c>
      <c r="D584">
        <v>1</v>
      </c>
      <c r="E584" s="1">
        <v>46271.770833333343</v>
      </c>
      <c r="F584">
        <v>4</v>
      </c>
      <c r="G584">
        <v>36</v>
      </c>
      <c r="H584" t="s">
        <v>22</v>
      </c>
      <c r="I584" t="s">
        <v>27</v>
      </c>
      <c r="J584">
        <v>9</v>
      </c>
      <c r="K584">
        <v>2026</v>
      </c>
      <c r="L584">
        <v>9</v>
      </c>
      <c r="M584">
        <v>18</v>
      </c>
      <c r="N584" t="s">
        <v>28</v>
      </c>
      <c r="O584" t="s">
        <v>24</v>
      </c>
      <c r="P584" t="s">
        <v>53</v>
      </c>
      <c r="Q584" t="s">
        <v>40</v>
      </c>
    </row>
    <row r="585" spans="1:17" x14ac:dyDescent="0.35">
      <c r="A585">
        <v>596</v>
      </c>
      <c r="B585">
        <v>9</v>
      </c>
      <c r="C585">
        <v>16</v>
      </c>
      <c r="D585">
        <v>6</v>
      </c>
      <c r="E585" s="1">
        <v>46283.604166666657</v>
      </c>
      <c r="F585">
        <v>1</v>
      </c>
      <c r="G585">
        <v>8</v>
      </c>
      <c r="H585" t="s">
        <v>22</v>
      </c>
      <c r="I585" t="s">
        <v>27</v>
      </c>
      <c r="J585">
        <v>8</v>
      </c>
      <c r="K585">
        <v>2026</v>
      </c>
      <c r="L585">
        <v>9</v>
      </c>
      <c r="M585">
        <v>14</v>
      </c>
      <c r="N585" t="s">
        <v>43</v>
      </c>
      <c r="O585" t="s">
        <v>13</v>
      </c>
      <c r="P585" t="s">
        <v>51</v>
      </c>
      <c r="Q585" t="s">
        <v>21</v>
      </c>
    </row>
    <row r="586" spans="1:17" x14ac:dyDescent="0.35">
      <c r="A586">
        <v>597</v>
      </c>
      <c r="B586">
        <v>13</v>
      </c>
      <c r="C586">
        <v>1</v>
      </c>
      <c r="D586">
        <v>9</v>
      </c>
      <c r="E586" s="1">
        <v>46067.875</v>
      </c>
      <c r="F586">
        <v>4</v>
      </c>
      <c r="G586">
        <v>40</v>
      </c>
      <c r="H586" t="s">
        <v>22</v>
      </c>
      <c r="I586" t="s">
        <v>18</v>
      </c>
      <c r="J586">
        <v>10</v>
      </c>
      <c r="K586">
        <v>2026</v>
      </c>
      <c r="L586">
        <v>2</v>
      </c>
      <c r="M586">
        <v>21</v>
      </c>
      <c r="N586" t="s">
        <v>23</v>
      </c>
      <c r="O586" t="s">
        <v>24</v>
      </c>
      <c r="P586" t="s">
        <v>39</v>
      </c>
      <c r="Q586" t="s">
        <v>30</v>
      </c>
    </row>
    <row r="587" spans="1:17" x14ac:dyDescent="0.35">
      <c r="A587">
        <v>598</v>
      </c>
      <c r="B587">
        <v>7</v>
      </c>
      <c r="C587">
        <v>5</v>
      </c>
      <c r="D587">
        <v>2</v>
      </c>
      <c r="E587" s="1">
        <v>46266.666666666657</v>
      </c>
      <c r="F587">
        <v>5</v>
      </c>
      <c r="G587">
        <v>40</v>
      </c>
      <c r="H587" t="s">
        <v>22</v>
      </c>
      <c r="I587" t="s">
        <v>18</v>
      </c>
      <c r="J587">
        <v>8</v>
      </c>
      <c r="K587">
        <v>2026</v>
      </c>
      <c r="L587">
        <v>9</v>
      </c>
      <c r="M587">
        <v>16</v>
      </c>
      <c r="N587" t="s">
        <v>37</v>
      </c>
      <c r="O587" t="s">
        <v>13</v>
      </c>
      <c r="P587" t="s">
        <v>53</v>
      </c>
      <c r="Q587" t="s">
        <v>54</v>
      </c>
    </row>
    <row r="588" spans="1:17" x14ac:dyDescent="0.35">
      <c r="A588">
        <v>599</v>
      </c>
      <c r="B588">
        <v>12</v>
      </c>
      <c r="C588">
        <v>11</v>
      </c>
      <c r="D588">
        <v>2</v>
      </c>
      <c r="E588" s="1">
        <v>46269.6875</v>
      </c>
      <c r="F588">
        <v>3</v>
      </c>
      <c r="G588">
        <v>24</v>
      </c>
      <c r="H588" t="s">
        <v>17</v>
      </c>
      <c r="I588" t="s">
        <v>27</v>
      </c>
      <c r="J588">
        <v>8</v>
      </c>
      <c r="K588">
        <v>2026</v>
      </c>
      <c r="L588">
        <v>9</v>
      </c>
      <c r="M588">
        <v>16</v>
      </c>
      <c r="N588" t="s">
        <v>43</v>
      </c>
      <c r="O588" t="s">
        <v>13</v>
      </c>
      <c r="P588" t="s">
        <v>59</v>
      </c>
      <c r="Q588" t="s">
        <v>54</v>
      </c>
    </row>
    <row r="589" spans="1:17" x14ac:dyDescent="0.35">
      <c r="A589">
        <v>600</v>
      </c>
      <c r="B589">
        <v>9</v>
      </c>
      <c r="C589">
        <v>10</v>
      </c>
      <c r="D589">
        <v>5</v>
      </c>
      <c r="E589" s="1">
        <v>46299.854166666657</v>
      </c>
      <c r="F589">
        <v>1</v>
      </c>
      <c r="G589">
        <v>9</v>
      </c>
      <c r="H589" t="s">
        <v>22</v>
      </c>
      <c r="I589" t="s">
        <v>31</v>
      </c>
      <c r="J589">
        <v>9</v>
      </c>
      <c r="K589">
        <v>2026</v>
      </c>
      <c r="L589">
        <v>10</v>
      </c>
      <c r="M589">
        <v>20</v>
      </c>
      <c r="N589" t="s">
        <v>28</v>
      </c>
      <c r="O589" t="s">
        <v>24</v>
      </c>
      <c r="P589" t="s">
        <v>25</v>
      </c>
      <c r="Q589" t="s">
        <v>50</v>
      </c>
    </row>
    <row r="590" spans="1:17" x14ac:dyDescent="0.35">
      <c r="A590">
        <v>601</v>
      </c>
      <c r="B590">
        <v>18</v>
      </c>
      <c r="C590">
        <v>15</v>
      </c>
      <c r="D590">
        <v>4</v>
      </c>
      <c r="E590" s="1">
        <v>46303.604166666657</v>
      </c>
      <c r="F590">
        <v>2</v>
      </c>
      <c r="G590">
        <v>16</v>
      </c>
      <c r="H590" t="s">
        <v>22</v>
      </c>
      <c r="I590" t="s">
        <v>27</v>
      </c>
      <c r="J590">
        <v>8</v>
      </c>
      <c r="K590">
        <v>2026</v>
      </c>
      <c r="L590">
        <v>10</v>
      </c>
      <c r="M590">
        <v>14</v>
      </c>
      <c r="N590" t="s">
        <v>41</v>
      </c>
      <c r="O590" t="s">
        <v>13</v>
      </c>
      <c r="P590" t="s">
        <v>38</v>
      </c>
      <c r="Q590" t="s">
        <v>26</v>
      </c>
    </row>
    <row r="591" spans="1:17" x14ac:dyDescent="0.35">
      <c r="A591">
        <v>602</v>
      </c>
      <c r="B591">
        <v>10</v>
      </c>
      <c r="C591">
        <v>12</v>
      </c>
      <c r="D591">
        <v>6</v>
      </c>
      <c r="E591" s="1">
        <v>46236.958333333343</v>
      </c>
      <c r="F591">
        <v>3</v>
      </c>
      <c r="G591">
        <v>30</v>
      </c>
      <c r="H591" t="s">
        <v>22</v>
      </c>
      <c r="I591" t="s">
        <v>18</v>
      </c>
      <c r="J591">
        <v>10</v>
      </c>
      <c r="K591">
        <v>2026</v>
      </c>
      <c r="L591">
        <v>8</v>
      </c>
      <c r="M591">
        <v>23</v>
      </c>
      <c r="N591" t="s">
        <v>28</v>
      </c>
      <c r="O591" t="s">
        <v>24</v>
      </c>
      <c r="P591" t="s">
        <v>57</v>
      </c>
      <c r="Q591" t="s">
        <v>21</v>
      </c>
    </row>
    <row r="592" spans="1:17" x14ac:dyDescent="0.35">
      <c r="A592">
        <v>603</v>
      </c>
      <c r="B592">
        <v>13</v>
      </c>
      <c r="C592">
        <v>20</v>
      </c>
      <c r="D592">
        <v>9</v>
      </c>
      <c r="E592" s="1">
        <v>46150.583333333343</v>
      </c>
      <c r="F592">
        <v>3</v>
      </c>
      <c r="G592">
        <v>24</v>
      </c>
      <c r="H592" t="s">
        <v>22</v>
      </c>
      <c r="I592" t="s">
        <v>18</v>
      </c>
      <c r="J592">
        <v>8</v>
      </c>
      <c r="K592">
        <v>2026</v>
      </c>
      <c r="L592">
        <v>5</v>
      </c>
      <c r="M592">
        <v>14</v>
      </c>
      <c r="N592" t="s">
        <v>43</v>
      </c>
      <c r="O592" t="s">
        <v>13</v>
      </c>
      <c r="P592" t="s">
        <v>36</v>
      </c>
      <c r="Q592" t="s">
        <v>30</v>
      </c>
    </row>
    <row r="593" spans="1:17" x14ac:dyDescent="0.35">
      <c r="A593">
        <v>604</v>
      </c>
      <c r="B593">
        <v>1</v>
      </c>
      <c r="C593">
        <v>19</v>
      </c>
      <c r="D593">
        <v>4</v>
      </c>
      <c r="E593" s="1">
        <v>46076.604166666657</v>
      </c>
      <c r="F593">
        <v>1</v>
      </c>
      <c r="G593">
        <v>8</v>
      </c>
      <c r="H593" t="s">
        <v>22</v>
      </c>
      <c r="I593" t="s">
        <v>18</v>
      </c>
      <c r="J593">
        <v>8</v>
      </c>
      <c r="K593">
        <v>2026</v>
      </c>
      <c r="L593">
        <v>2</v>
      </c>
      <c r="M593">
        <v>14</v>
      </c>
      <c r="N593" t="s">
        <v>33</v>
      </c>
      <c r="O593" t="s">
        <v>13</v>
      </c>
      <c r="P593" t="s">
        <v>58</v>
      </c>
      <c r="Q593" t="s">
        <v>26</v>
      </c>
    </row>
    <row r="594" spans="1:17" x14ac:dyDescent="0.35">
      <c r="A594">
        <v>605</v>
      </c>
      <c r="B594">
        <v>14</v>
      </c>
      <c r="C594">
        <v>18</v>
      </c>
      <c r="D594">
        <v>8</v>
      </c>
      <c r="E594" s="1">
        <v>46033.791666666657</v>
      </c>
      <c r="F594">
        <v>4</v>
      </c>
      <c r="G594">
        <v>36</v>
      </c>
      <c r="H594" t="s">
        <v>22</v>
      </c>
      <c r="I594" t="s">
        <v>31</v>
      </c>
      <c r="J594">
        <v>9</v>
      </c>
      <c r="K594">
        <v>2026</v>
      </c>
      <c r="L594">
        <v>1</v>
      </c>
      <c r="M594">
        <v>19</v>
      </c>
      <c r="N594" t="s">
        <v>28</v>
      </c>
      <c r="O594" t="s">
        <v>24</v>
      </c>
      <c r="P594" t="s">
        <v>47</v>
      </c>
      <c r="Q594" t="s">
        <v>46</v>
      </c>
    </row>
    <row r="595" spans="1:17" x14ac:dyDescent="0.35">
      <c r="A595">
        <v>606</v>
      </c>
      <c r="B595">
        <v>16</v>
      </c>
      <c r="C595">
        <v>12</v>
      </c>
      <c r="D595">
        <v>5</v>
      </c>
      <c r="E595" s="1">
        <v>46270.75</v>
      </c>
      <c r="F595">
        <v>3</v>
      </c>
      <c r="G595">
        <v>27</v>
      </c>
      <c r="H595" t="s">
        <v>22</v>
      </c>
      <c r="I595" t="s">
        <v>18</v>
      </c>
      <c r="J595">
        <v>9</v>
      </c>
      <c r="K595">
        <v>2026</v>
      </c>
      <c r="L595">
        <v>9</v>
      </c>
      <c r="M595">
        <v>18</v>
      </c>
      <c r="N595" t="s">
        <v>23</v>
      </c>
      <c r="O595" t="s">
        <v>24</v>
      </c>
      <c r="P595" t="s">
        <v>57</v>
      </c>
      <c r="Q595" t="s">
        <v>50</v>
      </c>
    </row>
    <row r="596" spans="1:17" x14ac:dyDescent="0.35">
      <c r="A596">
        <v>607</v>
      </c>
      <c r="B596">
        <v>12</v>
      </c>
      <c r="C596">
        <v>10</v>
      </c>
      <c r="D596">
        <v>1</v>
      </c>
      <c r="E596" s="1">
        <v>46226.583333333343</v>
      </c>
      <c r="F596">
        <v>2</v>
      </c>
      <c r="G596">
        <v>16</v>
      </c>
      <c r="H596" t="s">
        <v>17</v>
      </c>
      <c r="I596" t="s">
        <v>31</v>
      </c>
      <c r="J596">
        <v>8</v>
      </c>
      <c r="K596">
        <v>2026</v>
      </c>
      <c r="L596">
        <v>7</v>
      </c>
      <c r="M596">
        <v>14</v>
      </c>
      <c r="N596" t="s">
        <v>41</v>
      </c>
      <c r="O596" t="s">
        <v>13</v>
      </c>
      <c r="P596" t="s">
        <v>25</v>
      </c>
      <c r="Q596" t="s">
        <v>40</v>
      </c>
    </row>
    <row r="597" spans="1:17" x14ac:dyDescent="0.35">
      <c r="A597">
        <v>608</v>
      </c>
      <c r="B597">
        <v>8</v>
      </c>
      <c r="C597">
        <v>9</v>
      </c>
      <c r="D597">
        <v>3</v>
      </c>
      <c r="E597" s="1">
        <v>46044.854166666657</v>
      </c>
      <c r="F597">
        <v>2</v>
      </c>
      <c r="G597">
        <v>16</v>
      </c>
      <c r="H597" t="s">
        <v>22</v>
      </c>
      <c r="I597" t="s">
        <v>18</v>
      </c>
      <c r="J597">
        <v>8</v>
      </c>
      <c r="K597">
        <v>2026</v>
      </c>
      <c r="L597">
        <v>1</v>
      </c>
      <c r="M597">
        <v>20</v>
      </c>
      <c r="N597" t="s">
        <v>41</v>
      </c>
      <c r="O597" t="s">
        <v>13</v>
      </c>
      <c r="P597" t="s">
        <v>48</v>
      </c>
      <c r="Q597" t="s">
        <v>45</v>
      </c>
    </row>
    <row r="598" spans="1:17" x14ac:dyDescent="0.35">
      <c r="A598">
        <v>609</v>
      </c>
      <c r="B598">
        <v>18</v>
      </c>
      <c r="C598">
        <v>6</v>
      </c>
      <c r="D598">
        <v>6</v>
      </c>
      <c r="E598" s="1">
        <v>46056.791666666657</v>
      </c>
      <c r="F598">
        <v>3</v>
      </c>
      <c r="G598">
        <v>24</v>
      </c>
      <c r="H598" t="s">
        <v>22</v>
      </c>
      <c r="I598" t="s">
        <v>27</v>
      </c>
      <c r="J598">
        <v>8</v>
      </c>
      <c r="K598">
        <v>2026</v>
      </c>
      <c r="L598">
        <v>2</v>
      </c>
      <c r="M598">
        <v>19</v>
      </c>
      <c r="N598" t="s">
        <v>37</v>
      </c>
      <c r="O598" t="s">
        <v>13</v>
      </c>
      <c r="P598" t="s">
        <v>52</v>
      </c>
      <c r="Q598" t="s">
        <v>21</v>
      </c>
    </row>
    <row r="599" spans="1:17" x14ac:dyDescent="0.35">
      <c r="A599">
        <v>610</v>
      </c>
      <c r="B599">
        <v>8</v>
      </c>
      <c r="C599">
        <v>13</v>
      </c>
      <c r="D599">
        <v>6</v>
      </c>
      <c r="E599" s="1">
        <v>46282.791666666657</v>
      </c>
      <c r="F599">
        <v>2</v>
      </c>
      <c r="G599">
        <v>16</v>
      </c>
      <c r="H599" t="s">
        <v>22</v>
      </c>
      <c r="I599" t="s">
        <v>18</v>
      </c>
      <c r="J599">
        <v>8</v>
      </c>
      <c r="K599">
        <v>2026</v>
      </c>
      <c r="L599">
        <v>9</v>
      </c>
      <c r="M599">
        <v>19</v>
      </c>
      <c r="N599" t="s">
        <v>41</v>
      </c>
      <c r="O599" t="s">
        <v>13</v>
      </c>
      <c r="P599" t="s">
        <v>49</v>
      </c>
      <c r="Q599" t="s">
        <v>21</v>
      </c>
    </row>
    <row r="600" spans="1:17" x14ac:dyDescent="0.35">
      <c r="A600">
        <v>611</v>
      </c>
      <c r="B600">
        <v>15</v>
      </c>
      <c r="C600">
        <v>11</v>
      </c>
      <c r="D600">
        <v>3</v>
      </c>
      <c r="E600" s="1">
        <v>46094.625</v>
      </c>
      <c r="F600">
        <v>1</v>
      </c>
      <c r="G600">
        <v>8</v>
      </c>
      <c r="H600" t="s">
        <v>22</v>
      </c>
      <c r="I600" t="s">
        <v>18</v>
      </c>
      <c r="J600">
        <v>8</v>
      </c>
      <c r="K600">
        <v>2026</v>
      </c>
      <c r="L600">
        <v>3</v>
      </c>
      <c r="M600">
        <v>15</v>
      </c>
      <c r="N600" t="s">
        <v>43</v>
      </c>
      <c r="O600" t="s">
        <v>13</v>
      </c>
      <c r="P600" t="s">
        <v>59</v>
      </c>
      <c r="Q600" t="s">
        <v>45</v>
      </c>
    </row>
    <row r="601" spans="1:17" x14ac:dyDescent="0.35">
      <c r="A601">
        <v>612</v>
      </c>
      <c r="B601">
        <v>11</v>
      </c>
      <c r="C601">
        <v>10</v>
      </c>
      <c r="D601">
        <v>7</v>
      </c>
      <c r="E601" s="1">
        <v>46321.708333333343</v>
      </c>
      <c r="F601">
        <v>4</v>
      </c>
      <c r="G601">
        <v>32</v>
      </c>
      <c r="H601" t="s">
        <v>17</v>
      </c>
      <c r="I601" t="s">
        <v>18</v>
      </c>
      <c r="J601">
        <v>8</v>
      </c>
      <c r="K601">
        <v>2026</v>
      </c>
      <c r="L601">
        <v>10</v>
      </c>
      <c r="M601">
        <v>17</v>
      </c>
      <c r="N601" t="s">
        <v>33</v>
      </c>
      <c r="O601" t="s">
        <v>13</v>
      </c>
      <c r="P601" t="s">
        <v>25</v>
      </c>
      <c r="Q601" t="s">
        <v>35</v>
      </c>
    </row>
    <row r="602" spans="1:17" x14ac:dyDescent="0.35">
      <c r="A602">
        <v>613</v>
      </c>
      <c r="B602">
        <v>8</v>
      </c>
      <c r="C602">
        <v>11</v>
      </c>
      <c r="D602">
        <v>10</v>
      </c>
      <c r="E602" s="1">
        <v>46362.958333333343</v>
      </c>
      <c r="F602">
        <v>5</v>
      </c>
      <c r="G602">
        <v>50</v>
      </c>
      <c r="H602" t="s">
        <v>22</v>
      </c>
      <c r="I602" t="s">
        <v>31</v>
      </c>
      <c r="J602">
        <v>10</v>
      </c>
      <c r="K602">
        <v>2026</v>
      </c>
      <c r="L602">
        <v>12</v>
      </c>
      <c r="M602">
        <v>23</v>
      </c>
      <c r="N602" t="s">
        <v>28</v>
      </c>
      <c r="O602" t="s">
        <v>24</v>
      </c>
      <c r="P602" t="s">
        <v>59</v>
      </c>
      <c r="Q602" t="s">
        <v>32</v>
      </c>
    </row>
    <row r="603" spans="1:17" x14ac:dyDescent="0.35">
      <c r="A603">
        <v>614</v>
      </c>
      <c r="B603">
        <v>3</v>
      </c>
      <c r="C603">
        <v>4</v>
      </c>
      <c r="D603">
        <v>9</v>
      </c>
      <c r="E603" s="1">
        <v>46161.854166666657</v>
      </c>
      <c r="F603">
        <v>1</v>
      </c>
      <c r="G603">
        <v>8</v>
      </c>
      <c r="H603" t="s">
        <v>22</v>
      </c>
      <c r="I603" t="s">
        <v>27</v>
      </c>
      <c r="J603">
        <v>8</v>
      </c>
      <c r="K603">
        <v>2026</v>
      </c>
      <c r="L603">
        <v>5</v>
      </c>
      <c r="M603">
        <v>20</v>
      </c>
      <c r="N603" t="s">
        <v>37</v>
      </c>
      <c r="O603" t="s">
        <v>13</v>
      </c>
      <c r="P603" t="s">
        <v>55</v>
      </c>
      <c r="Q603" t="s">
        <v>30</v>
      </c>
    </row>
    <row r="604" spans="1:17" x14ac:dyDescent="0.35">
      <c r="A604">
        <v>615</v>
      </c>
      <c r="B604">
        <v>8</v>
      </c>
      <c r="C604">
        <v>1</v>
      </c>
      <c r="D604">
        <v>3</v>
      </c>
      <c r="E604" s="1">
        <v>46036.916666666657</v>
      </c>
      <c r="F604">
        <v>4</v>
      </c>
      <c r="G604">
        <v>36</v>
      </c>
      <c r="H604" t="s">
        <v>22</v>
      </c>
      <c r="I604" t="s">
        <v>27</v>
      </c>
      <c r="J604">
        <v>9</v>
      </c>
      <c r="K604">
        <v>2026</v>
      </c>
      <c r="L604">
        <v>1</v>
      </c>
      <c r="M604">
        <v>22</v>
      </c>
      <c r="N604" t="s">
        <v>19</v>
      </c>
      <c r="O604" t="s">
        <v>13</v>
      </c>
      <c r="P604" t="s">
        <v>39</v>
      </c>
      <c r="Q604" t="s">
        <v>45</v>
      </c>
    </row>
    <row r="605" spans="1:17" x14ac:dyDescent="0.35">
      <c r="A605">
        <v>616</v>
      </c>
      <c r="B605">
        <v>1</v>
      </c>
      <c r="C605">
        <v>2</v>
      </c>
      <c r="D605">
        <v>1</v>
      </c>
      <c r="E605" s="1">
        <v>46308.895833333343</v>
      </c>
      <c r="F605">
        <v>4</v>
      </c>
      <c r="G605">
        <v>36</v>
      </c>
      <c r="H605" t="s">
        <v>22</v>
      </c>
      <c r="I605" t="s">
        <v>18</v>
      </c>
      <c r="J605">
        <v>9</v>
      </c>
      <c r="K605">
        <v>2026</v>
      </c>
      <c r="L605">
        <v>10</v>
      </c>
      <c r="M605">
        <v>21</v>
      </c>
      <c r="N605" t="s">
        <v>37</v>
      </c>
      <c r="O605" t="s">
        <v>13</v>
      </c>
      <c r="P605" t="s">
        <v>44</v>
      </c>
      <c r="Q605" t="s">
        <v>40</v>
      </c>
    </row>
    <row r="606" spans="1:17" x14ac:dyDescent="0.35">
      <c r="A606">
        <v>617</v>
      </c>
      <c r="B606">
        <v>3</v>
      </c>
      <c r="C606">
        <v>11</v>
      </c>
      <c r="D606">
        <v>1</v>
      </c>
      <c r="E606" s="1">
        <v>46234.770833333343</v>
      </c>
      <c r="F606">
        <v>6</v>
      </c>
      <c r="G606">
        <v>48</v>
      </c>
      <c r="H606" t="s">
        <v>22</v>
      </c>
      <c r="I606" t="s">
        <v>18</v>
      </c>
      <c r="J606">
        <v>8</v>
      </c>
      <c r="K606">
        <v>2026</v>
      </c>
      <c r="L606">
        <v>7</v>
      </c>
      <c r="M606">
        <v>18</v>
      </c>
      <c r="N606" t="s">
        <v>43</v>
      </c>
      <c r="O606" t="s">
        <v>13</v>
      </c>
      <c r="P606" t="s">
        <v>59</v>
      </c>
      <c r="Q606" t="s">
        <v>40</v>
      </c>
    </row>
    <row r="607" spans="1:17" x14ac:dyDescent="0.35">
      <c r="A607">
        <v>618</v>
      </c>
      <c r="B607">
        <v>7</v>
      </c>
      <c r="C607">
        <v>20</v>
      </c>
      <c r="D607">
        <v>8</v>
      </c>
      <c r="E607" s="1">
        <v>46150.9375</v>
      </c>
      <c r="F607">
        <v>1</v>
      </c>
      <c r="G607">
        <v>9</v>
      </c>
      <c r="H607" t="s">
        <v>22</v>
      </c>
      <c r="I607" t="s">
        <v>31</v>
      </c>
      <c r="J607">
        <v>9</v>
      </c>
      <c r="K607">
        <v>2026</v>
      </c>
      <c r="L607">
        <v>5</v>
      </c>
      <c r="M607">
        <v>22</v>
      </c>
      <c r="N607" t="s">
        <v>43</v>
      </c>
      <c r="O607" t="s">
        <v>13</v>
      </c>
      <c r="P607" t="s">
        <v>36</v>
      </c>
      <c r="Q607" t="s">
        <v>46</v>
      </c>
    </row>
    <row r="608" spans="1:17" x14ac:dyDescent="0.35">
      <c r="A608">
        <v>619</v>
      </c>
      <c r="B608">
        <v>15</v>
      </c>
      <c r="C608">
        <v>9</v>
      </c>
      <c r="D608">
        <v>3</v>
      </c>
      <c r="E608" s="1">
        <v>46321.854166666657</v>
      </c>
      <c r="F608">
        <v>5</v>
      </c>
      <c r="G608">
        <v>40</v>
      </c>
      <c r="H608" t="s">
        <v>22</v>
      </c>
      <c r="I608" t="s">
        <v>27</v>
      </c>
      <c r="J608">
        <v>8</v>
      </c>
      <c r="K608">
        <v>2026</v>
      </c>
      <c r="L608">
        <v>10</v>
      </c>
      <c r="M608">
        <v>20</v>
      </c>
      <c r="N608" t="s">
        <v>33</v>
      </c>
      <c r="O608" t="s">
        <v>13</v>
      </c>
      <c r="P608" t="s">
        <v>48</v>
      </c>
      <c r="Q608" t="s">
        <v>45</v>
      </c>
    </row>
    <row r="609" spans="1:17" x14ac:dyDescent="0.35">
      <c r="A609">
        <v>620</v>
      </c>
      <c r="B609">
        <v>17</v>
      </c>
      <c r="C609">
        <v>17</v>
      </c>
      <c r="D609">
        <v>4</v>
      </c>
      <c r="E609" s="1">
        <v>46302.583333333343</v>
      </c>
      <c r="F609">
        <v>4</v>
      </c>
      <c r="G609">
        <v>32</v>
      </c>
      <c r="H609" t="s">
        <v>22</v>
      </c>
      <c r="I609" t="s">
        <v>27</v>
      </c>
      <c r="J609">
        <v>8</v>
      </c>
      <c r="K609">
        <v>2026</v>
      </c>
      <c r="L609">
        <v>10</v>
      </c>
      <c r="M609">
        <v>14</v>
      </c>
      <c r="N609" t="s">
        <v>19</v>
      </c>
      <c r="O609" t="s">
        <v>13</v>
      </c>
      <c r="P609" t="s">
        <v>56</v>
      </c>
      <c r="Q609" t="s">
        <v>26</v>
      </c>
    </row>
    <row r="610" spans="1:17" x14ac:dyDescent="0.35">
      <c r="A610">
        <v>621</v>
      </c>
      <c r="B610">
        <v>18</v>
      </c>
      <c r="C610">
        <v>2</v>
      </c>
      <c r="D610">
        <v>7</v>
      </c>
      <c r="E610" s="1">
        <v>46231.854166666657</v>
      </c>
      <c r="F610">
        <v>4</v>
      </c>
      <c r="G610">
        <v>32</v>
      </c>
      <c r="H610" t="s">
        <v>22</v>
      </c>
      <c r="I610" t="s">
        <v>18</v>
      </c>
      <c r="J610">
        <v>8</v>
      </c>
      <c r="K610">
        <v>2026</v>
      </c>
      <c r="L610">
        <v>7</v>
      </c>
      <c r="M610">
        <v>20</v>
      </c>
      <c r="N610" t="s">
        <v>37</v>
      </c>
      <c r="O610" t="s">
        <v>13</v>
      </c>
      <c r="P610" t="s">
        <v>44</v>
      </c>
      <c r="Q610" t="s">
        <v>35</v>
      </c>
    </row>
    <row r="611" spans="1:17" x14ac:dyDescent="0.35">
      <c r="A611">
        <v>622</v>
      </c>
      <c r="B611">
        <v>10</v>
      </c>
      <c r="C611">
        <v>14</v>
      </c>
      <c r="D611">
        <v>2</v>
      </c>
      <c r="E611" s="1">
        <v>46265.916666666657</v>
      </c>
      <c r="F611">
        <v>1</v>
      </c>
      <c r="G611">
        <v>9</v>
      </c>
      <c r="H611" t="s">
        <v>22</v>
      </c>
      <c r="I611" t="s">
        <v>31</v>
      </c>
      <c r="J611">
        <v>9</v>
      </c>
      <c r="K611">
        <v>2026</v>
      </c>
      <c r="L611">
        <v>8</v>
      </c>
      <c r="M611">
        <v>22</v>
      </c>
      <c r="N611" t="s">
        <v>33</v>
      </c>
      <c r="O611" t="s">
        <v>13</v>
      </c>
      <c r="P611" t="s">
        <v>29</v>
      </c>
      <c r="Q611" t="s">
        <v>54</v>
      </c>
    </row>
    <row r="612" spans="1:17" x14ac:dyDescent="0.35">
      <c r="A612">
        <v>623</v>
      </c>
      <c r="B612">
        <v>14</v>
      </c>
      <c r="C612">
        <v>4</v>
      </c>
      <c r="D612">
        <v>4</v>
      </c>
      <c r="E612" s="1">
        <v>46344.8125</v>
      </c>
      <c r="F612">
        <v>6</v>
      </c>
      <c r="G612">
        <v>48</v>
      </c>
      <c r="H612" t="s">
        <v>22</v>
      </c>
      <c r="I612" t="s">
        <v>27</v>
      </c>
      <c r="J612">
        <v>8</v>
      </c>
      <c r="K612">
        <v>2026</v>
      </c>
      <c r="L612">
        <v>11</v>
      </c>
      <c r="M612">
        <v>19</v>
      </c>
      <c r="N612" t="s">
        <v>19</v>
      </c>
      <c r="O612" t="s">
        <v>13</v>
      </c>
      <c r="P612" t="s">
        <v>55</v>
      </c>
      <c r="Q612" t="s">
        <v>26</v>
      </c>
    </row>
    <row r="613" spans="1:17" x14ac:dyDescent="0.35">
      <c r="A613">
        <v>624</v>
      </c>
      <c r="B613">
        <v>12</v>
      </c>
      <c r="C613">
        <v>18</v>
      </c>
      <c r="D613">
        <v>2</v>
      </c>
      <c r="E613" s="1">
        <v>46274.791666666657</v>
      </c>
      <c r="F613">
        <v>1</v>
      </c>
      <c r="G613">
        <v>8</v>
      </c>
      <c r="H613" t="s">
        <v>22</v>
      </c>
      <c r="I613" t="s">
        <v>27</v>
      </c>
      <c r="J613">
        <v>8</v>
      </c>
      <c r="K613">
        <v>2026</v>
      </c>
      <c r="L613">
        <v>9</v>
      </c>
      <c r="M613">
        <v>19</v>
      </c>
      <c r="N613" t="s">
        <v>19</v>
      </c>
      <c r="O613" t="s">
        <v>13</v>
      </c>
      <c r="P613" t="s">
        <v>47</v>
      </c>
      <c r="Q613" t="s">
        <v>54</v>
      </c>
    </row>
    <row r="614" spans="1:17" x14ac:dyDescent="0.35">
      <c r="A614">
        <v>625</v>
      </c>
      <c r="B614">
        <v>8</v>
      </c>
      <c r="C614">
        <v>7</v>
      </c>
      <c r="D614">
        <v>9</v>
      </c>
      <c r="E614" s="1">
        <v>46211.8125</v>
      </c>
      <c r="F614">
        <v>3</v>
      </c>
      <c r="G614">
        <v>24</v>
      </c>
      <c r="H614" t="s">
        <v>22</v>
      </c>
      <c r="I614" t="s">
        <v>31</v>
      </c>
      <c r="J614">
        <v>8</v>
      </c>
      <c r="K614">
        <v>2026</v>
      </c>
      <c r="L614">
        <v>7</v>
      </c>
      <c r="M614">
        <v>19</v>
      </c>
      <c r="N614" t="s">
        <v>19</v>
      </c>
      <c r="O614" t="s">
        <v>13</v>
      </c>
      <c r="P614" t="s">
        <v>34</v>
      </c>
      <c r="Q614" t="s">
        <v>30</v>
      </c>
    </row>
    <row r="615" spans="1:17" x14ac:dyDescent="0.35">
      <c r="A615">
        <v>626</v>
      </c>
      <c r="B615">
        <v>1</v>
      </c>
      <c r="C615">
        <v>19</v>
      </c>
      <c r="D615">
        <v>9</v>
      </c>
      <c r="E615" s="1">
        <v>46138.583333333343</v>
      </c>
      <c r="F615">
        <v>6</v>
      </c>
      <c r="G615">
        <v>54</v>
      </c>
      <c r="H615" t="s">
        <v>22</v>
      </c>
      <c r="I615" t="s">
        <v>31</v>
      </c>
      <c r="J615">
        <v>9</v>
      </c>
      <c r="K615">
        <v>2026</v>
      </c>
      <c r="L615">
        <v>4</v>
      </c>
      <c r="M615">
        <v>14</v>
      </c>
      <c r="N615" t="s">
        <v>28</v>
      </c>
      <c r="O615" t="s">
        <v>24</v>
      </c>
      <c r="P615" t="s">
        <v>58</v>
      </c>
      <c r="Q615" t="s">
        <v>30</v>
      </c>
    </row>
    <row r="616" spans="1:17" x14ac:dyDescent="0.35">
      <c r="A616">
        <v>627</v>
      </c>
      <c r="B616">
        <v>14</v>
      </c>
      <c r="C616">
        <v>11</v>
      </c>
      <c r="D616">
        <v>6</v>
      </c>
      <c r="E616" s="1">
        <v>46347.729166666657</v>
      </c>
      <c r="F616">
        <v>1</v>
      </c>
      <c r="G616">
        <v>9</v>
      </c>
      <c r="H616" t="s">
        <v>22</v>
      </c>
      <c r="I616" t="s">
        <v>27</v>
      </c>
      <c r="J616">
        <v>9</v>
      </c>
      <c r="K616">
        <v>2026</v>
      </c>
      <c r="L616">
        <v>11</v>
      </c>
      <c r="M616">
        <v>17</v>
      </c>
      <c r="N616" t="s">
        <v>23</v>
      </c>
      <c r="O616" t="s">
        <v>24</v>
      </c>
      <c r="P616" t="s">
        <v>59</v>
      </c>
      <c r="Q616" t="s">
        <v>21</v>
      </c>
    </row>
    <row r="617" spans="1:17" x14ac:dyDescent="0.35">
      <c r="A617">
        <v>628</v>
      </c>
      <c r="B617">
        <v>16</v>
      </c>
      <c r="C617">
        <v>6</v>
      </c>
      <c r="D617">
        <v>10</v>
      </c>
      <c r="E617" s="1">
        <v>46173.791666666657</v>
      </c>
      <c r="F617">
        <v>5</v>
      </c>
      <c r="G617">
        <v>45</v>
      </c>
      <c r="H617" t="s">
        <v>22</v>
      </c>
      <c r="I617" t="s">
        <v>18</v>
      </c>
      <c r="J617">
        <v>9</v>
      </c>
      <c r="K617">
        <v>2026</v>
      </c>
      <c r="L617">
        <v>5</v>
      </c>
      <c r="M617">
        <v>19</v>
      </c>
      <c r="N617" t="s">
        <v>28</v>
      </c>
      <c r="O617" t="s">
        <v>24</v>
      </c>
      <c r="P617" t="s">
        <v>52</v>
      </c>
      <c r="Q617" t="s">
        <v>32</v>
      </c>
    </row>
    <row r="618" spans="1:17" x14ac:dyDescent="0.35">
      <c r="A618">
        <v>629</v>
      </c>
      <c r="B618">
        <v>9</v>
      </c>
      <c r="C618">
        <v>2</v>
      </c>
      <c r="D618">
        <v>5</v>
      </c>
      <c r="E618" s="1">
        <v>46207.6875</v>
      </c>
      <c r="F618">
        <v>1</v>
      </c>
      <c r="G618">
        <v>9</v>
      </c>
      <c r="H618" t="s">
        <v>17</v>
      </c>
      <c r="I618" t="s">
        <v>27</v>
      </c>
      <c r="J618">
        <v>9</v>
      </c>
      <c r="K618">
        <v>2026</v>
      </c>
      <c r="L618">
        <v>7</v>
      </c>
      <c r="M618">
        <v>16</v>
      </c>
      <c r="N618" t="s">
        <v>23</v>
      </c>
      <c r="O618" t="s">
        <v>24</v>
      </c>
      <c r="P618" t="s">
        <v>44</v>
      </c>
      <c r="Q618" t="s">
        <v>50</v>
      </c>
    </row>
    <row r="619" spans="1:17" x14ac:dyDescent="0.35">
      <c r="A619">
        <v>630</v>
      </c>
      <c r="B619">
        <v>9</v>
      </c>
      <c r="C619">
        <v>13</v>
      </c>
      <c r="D619">
        <v>7</v>
      </c>
      <c r="E619" s="1">
        <v>46291.625</v>
      </c>
      <c r="F619">
        <v>6</v>
      </c>
      <c r="G619">
        <v>54</v>
      </c>
      <c r="H619" t="s">
        <v>22</v>
      </c>
      <c r="I619" t="s">
        <v>18</v>
      </c>
      <c r="J619">
        <v>9</v>
      </c>
      <c r="K619">
        <v>2026</v>
      </c>
      <c r="L619">
        <v>9</v>
      </c>
      <c r="M619">
        <v>15</v>
      </c>
      <c r="N619" t="s">
        <v>23</v>
      </c>
      <c r="O619" t="s">
        <v>24</v>
      </c>
      <c r="P619" t="s">
        <v>49</v>
      </c>
      <c r="Q619" t="s">
        <v>35</v>
      </c>
    </row>
    <row r="620" spans="1:17" x14ac:dyDescent="0.35">
      <c r="A620">
        <v>631</v>
      </c>
      <c r="B620">
        <v>4</v>
      </c>
      <c r="C620">
        <v>3</v>
      </c>
      <c r="D620">
        <v>2</v>
      </c>
      <c r="E620" s="1">
        <v>46052.708333333343</v>
      </c>
      <c r="F620">
        <v>2</v>
      </c>
      <c r="G620">
        <v>16</v>
      </c>
      <c r="H620" t="s">
        <v>22</v>
      </c>
      <c r="I620" t="s">
        <v>31</v>
      </c>
      <c r="J620">
        <v>8</v>
      </c>
      <c r="K620">
        <v>2026</v>
      </c>
      <c r="L620">
        <v>1</v>
      </c>
      <c r="M620">
        <v>17</v>
      </c>
      <c r="N620" t="s">
        <v>43</v>
      </c>
      <c r="O620" t="s">
        <v>13</v>
      </c>
      <c r="P620" t="s">
        <v>20</v>
      </c>
      <c r="Q620" t="s">
        <v>54</v>
      </c>
    </row>
    <row r="621" spans="1:17" x14ac:dyDescent="0.35">
      <c r="A621">
        <v>632</v>
      </c>
      <c r="B621">
        <v>3</v>
      </c>
      <c r="C621">
        <v>17</v>
      </c>
      <c r="D621">
        <v>3</v>
      </c>
      <c r="E621" s="1">
        <v>46133.979166666657</v>
      </c>
      <c r="F621">
        <v>6</v>
      </c>
      <c r="G621">
        <v>54</v>
      </c>
      <c r="H621" t="s">
        <v>22</v>
      </c>
      <c r="I621" t="s">
        <v>18</v>
      </c>
      <c r="J621">
        <v>9</v>
      </c>
      <c r="K621">
        <v>2026</v>
      </c>
      <c r="L621">
        <v>4</v>
      </c>
      <c r="M621">
        <v>23</v>
      </c>
      <c r="N621" t="s">
        <v>37</v>
      </c>
      <c r="O621" t="s">
        <v>13</v>
      </c>
      <c r="P621" t="s">
        <v>56</v>
      </c>
      <c r="Q621" t="s">
        <v>45</v>
      </c>
    </row>
    <row r="622" spans="1:17" x14ac:dyDescent="0.35">
      <c r="A622">
        <v>633</v>
      </c>
      <c r="B622">
        <v>11</v>
      </c>
      <c r="C622">
        <v>18</v>
      </c>
      <c r="D622">
        <v>5</v>
      </c>
      <c r="E622" s="1">
        <v>46375.875</v>
      </c>
      <c r="F622">
        <v>2</v>
      </c>
      <c r="G622">
        <v>20</v>
      </c>
      <c r="H622" t="s">
        <v>22</v>
      </c>
      <c r="I622" t="s">
        <v>18</v>
      </c>
      <c r="J622">
        <v>10</v>
      </c>
      <c r="K622">
        <v>2026</v>
      </c>
      <c r="L622">
        <v>12</v>
      </c>
      <c r="M622">
        <v>21</v>
      </c>
      <c r="N622" t="s">
        <v>23</v>
      </c>
      <c r="O622" t="s">
        <v>24</v>
      </c>
      <c r="P622" t="s">
        <v>47</v>
      </c>
      <c r="Q622" t="s">
        <v>50</v>
      </c>
    </row>
    <row r="623" spans="1:17" x14ac:dyDescent="0.35">
      <c r="A623">
        <v>634</v>
      </c>
      <c r="B623">
        <v>15</v>
      </c>
      <c r="C623">
        <v>10</v>
      </c>
      <c r="D623">
        <v>1</v>
      </c>
      <c r="E623" s="1">
        <v>46126.75</v>
      </c>
      <c r="F623">
        <v>2</v>
      </c>
      <c r="G623">
        <v>16</v>
      </c>
      <c r="H623" t="s">
        <v>22</v>
      </c>
      <c r="I623" t="s">
        <v>27</v>
      </c>
      <c r="J623">
        <v>8</v>
      </c>
      <c r="K623">
        <v>2026</v>
      </c>
      <c r="L623">
        <v>4</v>
      </c>
      <c r="M623">
        <v>18</v>
      </c>
      <c r="N623" t="s">
        <v>37</v>
      </c>
      <c r="O623" t="s">
        <v>13</v>
      </c>
      <c r="P623" t="s">
        <v>25</v>
      </c>
      <c r="Q623" t="s">
        <v>40</v>
      </c>
    </row>
    <row r="624" spans="1:17" x14ac:dyDescent="0.35">
      <c r="A624">
        <v>635</v>
      </c>
      <c r="B624">
        <v>10</v>
      </c>
      <c r="C624">
        <v>12</v>
      </c>
      <c r="D624">
        <v>6</v>
      </c>
      <c r="E624" s="1">
        <v>46108.791666666657</v>
      </c>
      <c r="F624">
        <v>2</v>
      </c>
      <c r="G624">
        <v>16</v>
      </c>
      <c r="H624" t="s">
        <v>22</v>
      </c>
      <c r="I624" t="s">
        <v>27</v>
      </c>
      <c r="J624">
        <v>8</v>
      </c>
      <c r="K624">
        <v>2026</v>
      </c>
      <c r="L624">
        <v>3</v>
      </c>
      <c r="M624">
        <v>19</v>
      </c>
      <c r="N624" t="s">
        <v>43</v>
      </c>
      <c r="O624" t="s">
        <v>13</v>
      </c>
      <c r="P624" t="s">
        <v>57</v>
      </c>
      <c r="Q624" t="s">
        <v>21</v>
      </c>
    </row>
    <row r="625" spans="1:17" x14ac:dyDescent="0.35">
      <c r="A625">
        <v>636</v>
      </c>
      <c r="B625">
        <v>16</v>
      </c>
      <c r="C625">
        <v>11</v>
      </c>
      <c r="D625">
        <v>6</v>
      </c>
      <c r="E625" s="1">
        <v>46041.979166666657</v>
      </c>
      <c r="F625">
        <v>6</v>
      </c>
      <c r="G625">
        <v>54</v>
      </c>
      <c r="H625" t="s">
        <v>22</v>
      </c>
      <c r="I625" t="s">
        <v>27</v>
      </c>
      <c r="J625">
        <v>9</v>
      </c>
      <c r="K625">
        <v>2026</v>
      </c>
      <c r="L625">
        <v>1</v>
      </c>
      <c r="M625">
        <v>23</v>
      </c>
      <c r="N625" t="s">
        <v>33</v>
      </c>
      <c r="O625" t="s">
        <v>13</v>
      </c>
      <c r="P625" t="s">
        <v>59</v>
      </c>
      <c r="Q625" t="s">
        <v>21</v>
      </c>
    </row>
    <row r="626" spans="1:17" x14ac:dyDescent="0.35">
      <c r="A626">
        <v>637</v>
      </c>
      <c r="B626">
        <v>3</v>
      </c>
      <c r="C626">
        <v>6</v>
      </c>
      <c r="D626">
        <v>10</v>
      </c>
      <c r="E626" s="1">
        <v>46198.6875</v>
      </c>
      <c r="F626">
        <v>1</v>
      </c>
      <c r="G626">
        <v>8</v>
      </c>
      <c r="H626" t="s">
        <v>22</v>
      </c>
      <c r="I626" t="s">
        <v>18</v>
      </c>
      <c r="J626">
        <v>8</v>
      </c>
      <c r="K626">
        <v>2026</v>
      </c>
      <c r="L626">
        <v>6</v>
      </c>
      <c r="M626">
        <v>16</v>
      </c>
      <c r="N626" t="s">
        <v>41</v>
      </c>
      <c r="O626" t="s">
        <v>13</v>
      </c>
      <c r="P626" t="s">
        <v>52</v>
      </c>
      <c r="Q626" t="s">
        <v>32</v>
      </c>
    </row>
    <row r="627" spans="1:17" x14ac:dyDescent="0.35">
      <c r="A627">
        <v>638</v>
      </c>
      <c r="B627">
        <v>14</v>
      </c>
      <c r="C627">
        <v>13</v>
      </c>
      <c r="D627">
        <v>9</v>
      </c>
      <c r="E627" s="1">
        <v>46032.770833333343</v>
      </c>
      <c r="F627">
        <v>2</v>
      </c>
      <c r="G627">
        <v>18</v>
      </c>
      <c r="H627" t="s">
        <v>22</v>
      </c>
      <c r="I627" t="s">
        <v>18</v>
      </c>
      <c r="J627">
        <v>9</v>
      </c>
      <c r="K627">
        <v>2026</v>
      </c>
      <c r="L627">
        <v>1</v>
      </c>
      <c r="M627">
        <v>18</v>
      </c>
      <c r="N627" t="s">
        <v>23</v>
      </c>
      <c r="O627" t="s">
        <v>24</v>
      </c>
      <c r="P627" t="s">
        <v>49</v>
      </c>
      <c r="Q627" t="s">
        <v>30</v>
      </c>
    </row>
    <row r="628" spans="1:17" x14ac:dyDescent="0.35">
      <c r="A628">
        <v>639</v>
      </c>
      <c r="B628">
        <v>14</v>
      </c>
      <c r="C628">
        <v>18</v>
      </c>
      <c r="D628">
        <v>6</v>
      </c>
      <c r="E628" s="1">
        <v>46067.75</v>
      </c>
      <c r="F628">
        <v>2</v>
      </c>
      <c r="G628">
        <v>18</v>
      </c>
      <c r="H628" t="s">
        <v>22</v>
      </c>
      <c r="I628" t="s">
        <v>31</v>
      </c>
      <c r="J628">
        <v>9</v>
      </c>
      <c r="K628">
        <v>2026</v>
      </c>
      <c r="L628">
        <v>2</v>
      </c>
      <c r="M628">
        <v>18</v>
      </c>
      <c r="N628" t="s">
        <v>23</v>
      </c>
      <c r="O628" t="s">
        <v>24</v>
      </c>
      <c r="P628" t="s">
        <v>47</v>
      </c>
      <c r="Q628" t="s">
        <v>21</v>
      </c>
    </row>
    <row r="629" spans="1:17" x14ac:dyDescent="0.35">
      <c r="A629">
        <v>640</v>
      </c>
      <c r="B629">
        <v>8</v>
      </c>
      <c r="C629">
        <v>13</v>
      </c>
      <c r="D629">
        <v>10</v>
      </c>
      <c r="E629" s="1">
        <v>46330.958333333343</v>
      </c>
      <c r="F629">
        <v>6</v>
      </c>
      <c r="G629">
        <v>54</v>
      </c>
      <c r="H629" t="s">
        <v>22</v>
      </c>
      <c r="I629" t="s">
        <v>27</v>
      </c>
      <c r="J629">
        <v>9</v>
      </c>
      <c r="K629">
        <v>2026</v>
      </c>
      <c r="L629">
        <v>11</v>
      </c>
      <c r="M629">
        <v>23</v>
      </c>
      <c r="N629" t="s">
        <v>19</v>
      </c>
      <c r="O629" t="s">
        <v>13</v>
      </c>
      <c r="P629" t="s">
        <v>49</v>
      </c>
      <c r="Q629" t="s">
        <v>32</v>
      </c>
    </row>
    <row r="630" spans="1:17" x14ac:dyDescent="0.35">
      <c r="A630">
        <v>641</v>
      </c>
      <c r="B630">
        <v>7</v>
      </c>
      <c r="C630">
        <v>12</v>
      </c>
      <c r="D630">
        <v>4</v>
      </c>
      <c r="E630" s="1">
        <v>46172.791666666657</v>
      </c>
      <c r="F630">
        <v>1</v>
      </c>
      <c r="G630">
        <v>9</v>
      </c>
      <c r="H630" t="s">
        <v>22</v>
      </c>
      <c r="I630" t="s">
        <v>31</v>
      </c>
      <c r="J630">
        <v>9</v>
      </c>
      <c r="K630">
        <v>2026</v>
      </c>
      <c r="L630">
        <v>5</v>
      </c>
      <c r="M630">
        <v>19</v>
      </c>
      <c r="N630" t="s">
        <v>23</v>
      </c>
      <c r="O630" t="s">
        <v>24</v>
      </c>
      <c r="P630" t="s">
        <v>57</v>
      </c>
      <c r="Q630" t="s">
        <v>26</v>
      </c>
    </row>
    <row r="631" spans="1:17" x14ac:dyDescent="0.35">
      <c r="A631">
        <v>642</v>
      </c>
      <c r="B631">
        <v>9</v>
      </c>
      <c r="C631">
        <v>20</v>
      </c>
      <c r="D631">
        <v>1</v>
      </c>
      <c r="E631" s="1">
        <v>46207.645833333343</v>
      </c>
      <c r="F631">
        <v>6</v>
      </c>
      <c r="G631">
        <v>54</v>
      </c>
      <c r="H631" t="s">
        <v>22</v>
      </c>
      <c r="I631" t="s">
        <v>31</v>
      </c>
      <c r="J631">
        <v>9</v>
      </c>
      <c r="K631">
        <v>2026</v>
      </c>
      <c r="L631">
        <v>7</v>
      </c>
      <c r="M631">
        <v>15</v>
      </c>
      <c r="N631" t="s">
        <v>23</v>
      </c>
      <c r="O631" t="s">
        <v>24</v>
      </c>
      <c r="P631" t="s">
        <v>36</v>
      </c>
      <c r="Q631" t="s">
        <v>40</v>
      </c>
    </row>
    <row r="632" spans="1:17" x14ac:dyDescent="0.35">
      <c r="A632">
        <v>643</v>
      </c>
      <c r="B632">
        <v>18</v>
      </c>
      <c r="C632">
        <v>5</v>
      </c>
      <c r="D632">
        <v>10</v>
      </c>
      <c r="E632" s="1">
        <v>46107.708333333343</v>
      </c>
      <c r="F632">
        <v>6</v>
      </c>
      <c r="G632">
        <v>48</v>
      </c>
      <c r="H632" t="s">
        <v>17</v>
      </c>
      <c r="I632" t="s">
        <v>31</v>
      </c>
      <c r="J632">
        <v>8</v>
      </c>
      <c r="K632">
        <v>2026</v>
      </c>
      <c r="L632">
        <v>3</v>
      </c>
      <c r="M632">
        <v>17</v>
      </c>
      <c r="N632" t="s">
        <v>41</v>
      </c>
      <c r="O632" t="s">
        <v>13</v>
      </c>
      <c r="P632" t="s">
        <v>53</v>
      </c>
      <c r="Q632" t="s">
        <v>32</v>
      </c>
    </row>
    <row r="633" spans="1:17" x14ac:dyDescent="0.35">
      <c r="A633">
        <v>644</v>
      </c>
      <c r="B633">
        <v>1</v>
      </c>
      <c r="C633">
        <v>3</v>
      </c>
      <c r="D633">
        <v>1</v>
      </c>
      <c r="E633" s="1">
        <v>46156.833333333343</v>
      </c>
      <c r="F633">
        <v>4</v>
      </c>
      <c r="G633">
        <v>32</v>
      </c>
      <c r="H633" t="s">
        <v>22</v>
      </c>
      <c r="I633" t="s">
        <v>31</v>
      </c>
      <c r="J633">
        <v>8</v>
      </c>
      <c r="K633">
        <v>2026</v>
      </c>
      <c r="L633">
        <v>5</v>
      </c>
      <c r="M633">
        <v>20</v>
      </c>
      <c r="N633" t="s">
        <v>41</v>
      </c>
      <c r="O633" t="s">
        <v>13</v>
      </c>
      <c r="P633" t="s">
        <v>20</v>
      </c>
      <c r="Q633" t="s">
        <v>40</v>
      </c>
    </row>
    <row r="634" spans="1:17" x14ac:dyDescent="0.35">
      <c r="A634">
        <v>645</v>
      </c>
      <c r="B634">
        <v>14</v>
      </c>
      <c r="C634">
        <v>18</v>
      </c>
      <c r="D634">
        <v>3</v>
      </c>
      <c r="E634" s="1">
        <v>46352.958333333343</v>
      </c>
      <c r="F634">
        <v>5</v>
      </c>
      <c r="G634">
        <v>45</v>
      </c>
      <c r="H634" t="s">
        <v>22</v>
      </c>
      <c r="I634" t="s">
        <v>31</v>
      </c>
      <c r="J634">
        <v>9</v>
      </c>
      <c r="K634">
        <v>2026</v>
      </c>
      <c r="L634">
        <v>11</v>
      </c>
      <c r="M634">
        <v>23</v>
      </c>
      <c r="N634" t="s">
        <v>41</v>
      </c>
      <c r="O634" t="s">
        <v>13</v>
      </c>
      <c r="P634" t="s">
        <v>47</v>
      </c>
      <c r="Q634" t="s">
        <v>45</v>
      </c>
    </row>
    <row r="635" spans="1:17" x14ac:dyDescent="0.35">
      <c r="A635">
        <v>646</v>
      </c>
      <c r="B635">
        <v>1</v>
      </c>
      <c r="C635">
        <v>9</v>
      </c>
      <c r="D635">
        <v>7</v>
      </c>
      <c r="E635" s="1">
        <v>46157.645833333343</v>
      </c>
      <c r="F635">
        <v>3</v>
      </c>
      <c r="G635">
        <v>24</v>
      </c>
      <c r="H635" t="s">
        <v>22</v>
      </c>
      <c r="I635" t="s">
        <v>18</v>
      </c>
      <c r="J635">
        <v>8</v>
      </c>
      <c r="K635">
        <v>2026</v>
      </c>
      <c r="L635">
        <v>5</v>
      </c>
      <c r="M635">
        <v>15</v>
      </c>
      <c r="N635" t="s">
        <v>43</v>
      </c>
      <c r="O635" t="s">
        <v>13</v>
      </c>
      <c r="P635" t="s">
        <v>48</v>
      </c>
      <c r="Q635" t="s">
        <v>35</v>
      </c>
    </row>
    <row r="636" spans="1:17" x14ac:dyDescent="0.35">
      <c r="A636">
        <v>647</v>
      </c>
      <c r="B636">
        <v>15</v>
      </c>
      <c r="C636">
        <v>17</v>
      </c>
      <c r="D636">
        <v>4</v>
      </c>
      <c r="E636" s="1">
        <v>46273.916666666657</v>
      </c>
      <c r="F636">
        <v>4</v>
      </c>
      <c r="G636">
        <v>36</v>
      </c>
      <c r="H636" t="s">
        <v>22</v>
      </c>
      <c r="I636" t="s">
        <v>31</v>
      </c>
      <c r="J636">
        <v>9</v>
      </c>
      <c r="K636">
        <v>2026</v>
      </c>
      <c r="L636">
        <v>9</v>
      </c>
      <c r="M636">
        <v>22</v>
      </c>
      <c r="N636" t="s">
        <v>37</v>
      </c>
      <c r="O636" t="s">
        <v>13</v>
      </c>
      <c r="P636" t="s">
        <v>56</v>
      </c>
      <c r="Q636" t="s">
        <v>26</v>
      </c>
    </row>
    <row r="637" spans="1:17" x14ac:dyDescent="0.35">
      <c r="A637">
        <v>648</v>
      </c>
      <c r="B637">
        <v>5</v>
      </c>
      <c r="C637">
        <v>12</v>
      </c>
      <c r="D637">
        <v>4</v>
      </c>
      <c r="E637" s="1">
        <v>46235.666666666657</v>
      </c>
      <c r="F637">
        <v>4</v>
      </c>
      <c r="G637">
        <v>36</v>
      </c>
      <c r="H637" t="s">
        <v>22</v>
      </c>
      <c r="I637" t="s">
        <v>27</v>
      </c>
      <c r="J637">
        <v>9</v>
      </c>
      <c r="K637">
        <v>2026</v>
      </c>
      <c r="L637">
        <v>8</v>
      </c>
      <c r="M637">
        <v>16</v>
      </c>
      <c r="N637" t="s">
        <v>23</v>
      </c>
      <c r="O637" t="s">
        <v>24</v>
      </c>
      <c r="P637" t="s">
        <v>57</v>
      </c>
      <c r="Q637" t="s">
        <v>26</v>
      </c>
    </row>
    <row r="638" spans="1:17" x14ac:dyDescent="0.35">
      <c r="A638">
        <v>649</v>
      </c>
      <c r="B638">
        <v>13</v>
      </c>
      <c r="C638">
        <v>18</v>
      </c>
      <c r="D638">
        <v>2</v>
      </c>
      <c r="E638" s="1">
        <v>46216.75</v>
      </c>
      <c r="F638">
        <v>1</v>
      </c>
      <c r="G638">
        <v>8</v>
      </c>
      <c r="H638" t="s">
        <v>22</v>
      </c>
      <c r="I638" t="s">
        <v>27</v>
      </c>
      <c r="J638">
        <v>8</v>
      </c>
      <c r="K638">
        <v>2026</v>
      </c>
      <c r="L638">
        <v>7</v>
      </c>
      <c r="M638">
        <v>18</v>
      </c>
      <c r="N638" t="s">
        <v>33</v>
      </c>
      <c r="O638" t="s">
        <v>13</v>
      </c>
      <c r="P638" t="s">
        <v>47</v>
      </c>
      <c r="Q638" t="s">
        <v>54</v>
      </c>
    </row>
    <row r="639" spans="1:17" x14ac:dyDescent="0.35">
      <c r="A639">
        <v>650</v>
      </c>
      <c r="B639">
        <v>4</v>
      </c>
      <c r="C639">
        <v>8</v>
      </c>
      <c r="D639">
        <v>2</v>
      </c>
      <c r="E639" s="1">
        <v>46077.875</v>
      </c>
      <c r="F639">
        <v>6</v>
      </c>
      <c r="G639">
        <v>54</v>
      </c>
      <c r="H639" t="s">
        <v>22</v>
      </c>
      <c r="I639" t="s">
        <v>27</v>
      </c>
      <c r="J639">
        <v>9</v>
      </c>
      <c r="K639">
        <v>2026</v>
      </c>
      <c r="L639">
        <v>2</v>
      </c>
      <c r="M639">
        <v>21</v>
      </c>
      <c r="N639" t="s">
        <v>37</v>
      </c>
      <c r="O639" t="s">
        <v>13</v>
      </c>
      <c r="P639" t="s">
        <v>42</v>
      </c>
      <c r="Q639" t="s">
        <v>54</v>
      </c>
    </row>
    <row r="640" spans="1:17" x14ac:dyDescent="0.35">
      <c r="A640">
        <v>651</v>
      </c>
      <c r="B640">
        <v>10</v>
      </c>
      <c r="C640">
        <v>7</v>
      </c>
      <c r="D640">
        <v>10</v>
      </c>
      <c r="E640" s="1">
        <v>46236.916666666657</v>
      </c>
      <c r="F640">
        <v>6</v>
      </c>
      <c r="G640">
        <v>60</v>
      </c>
      <c r="H640" t="s">
        <v>22</v>
      </c>
      <c r="I640" t="s">
        <v>18</v>
      </c>
      <c r="J640">
        <v>10</v>
      </c>
      <c r="K640">
        <v>2026</v>
      </c>
      <c r="L640">
        <v>8</v>
      </c>
      <c r="M640">
        <v>22</v>
      </c>
      <c r="N640" t="s">
        <v>28</v>
      </c>
      <c r="O640" t="s">
        <v>24</v>
      </c>
      <c r="P640" t="s">
        <v>34</v>
      </c>
      <c r="Q640" t="s">
        <v>32</v>
      </c>
    </row>
    <row r="641" spans="1:17" x14ac:dyDescent="0.35">
      <c r="A641">
        <v>652</v>
      </c>
      <c r="B641">
        <v>3</v>
      </c>
      <c r="C641">
        <v>1</v>
      </c>
      <c r="D641">
        <v>7</v>
      </c>
      <c r="E641" s="1">
        <v>46379.895833333343</v>
      </c>
      <c r="F641">
        <v>1</v>
      </c>
      <c r="G641">
        <v>9</v>
      </c>
      <c r="H641" t="s">
        <v>22</v>
      </c>
      <c r="I641" t="s">
        <v>27</v>
      </c>
      <c r="J641">
        <v>9</v>
      </c>
      <c r="K641">
        <v>2026</v>
      </c>
      <c r="L641">
        <v>12</v>
      </c>
      <c r="M641">
        <v>21</v>
      </c>
      <c r="N641" t="s">
        <v>19</v>
      </c>
      <c r="O641" t="s">
        <v>13</v>
      </c>
      <c r="P641" t="s">
        <v>39</v>
      </c>
      <c r="Q641" t="s">
        <v>35</v>
      </c>
    </row>
    <row r="642" spans="1:17" x14ac:dyDescent="0.35">
      <c r="A642">
        <v>653</v>
      </c>
      <c r="B642">
        <v>13</v>
      </c>
      <c r="C642">
        <v>13</v>
      </c>
      <c r="D642">
        <v>5</v>
      </c>
      <c r="E642" s="1">
        <v>46303.8125</v>
      </c>
      <c r="F642">
        <v>3</v>
      </c>
      <c r="G642">
        <v>24</v>
      </c>
      <c r="H642" t="s">
        <v>22</v>
      </c>
      <c r="I642" t="s">
        <v>31</v>
      </c>
      <c r="J642">
        <v>8</v>
      </c>
      <c r="K642">
        <v>2026</v>
      </c>
      <c r="L642">
        <v>10</v>
      </c>
      <c r="M642">
        <v>19</v>
      </c>
      <c r="N642" t="s">
        <v>41</v>
      </c>
      <c r="O642" t="s">
        <v>13</v>
      </c>
      <c r="P642" t="s">
        <v>49</v>
      </c>
      <c r="Q642" t="s">
        <v>50</v>
      </c>
    </row>
    <row r="643" spans="1:17" x14ac:dyDescent="0.35">
      <c r="A643">
        <v>654</v>
      </c>
      <c r="B643">
        <v>20</v>
      </c>
      <c r="C643">
        <v>6</v>
      </c>
      <c r="D643">
        <v>2</v>
      </c>
      <c r="E643" s="1">
        <v>46345.645833333343</v>
      </c>
      <c r="F643">
        <v>6</v>
      </c>
      <c r="G643">
        <v>48</v>
      </c>
      <c r="H643" t="s">
        <v>22</v>
      </c>
      <c r="I643" t="s">
        <v>31</v>
      </c>
      <c r="J643">
        <v>8</v>
      </c>
      <c r="K643">
        <v>2026</v>
      </c>
      <c r="L643">
        <v>11</v>
      </c>
      <c r="M643">
        <v>15</v>
      </c>
      <c r="N643" t="s">
        <v>41</v>
      </c>
      <c r="O643" t="s">
        <v>13</v>
      </c>
      <c r="P643" t="s">
        <v>52</v>
      </c>
      <c r="Q643" t="s">
        <v>54</v>
      </c>
    </row>
    <row r="644" spans="1:17" x14ac:dyDescent="0.35">
      <c r="A644">
        <v>655</v>
      </c>
      <c r="B644">
        <v>11</v>
      </c>
      <c r="C644">
        <v>8</v>
      </c>
      <c r="D644">
        <v>1</v>
      </c>
      <c r="E644" s="1">
        <v>46241.979166666657</v>
      </c>
      <c r="F644">
        <v>6</v>
      </c>
      <c r="G644">
        <v>54</v>
      </c>
      <c r="H644" t="s">
        <v>22</v>
      </c>
      <c r="I644" t="s">
        <v>27</v>
      </c>
      <c r="J644">
        <v>9</v>
      </c>
      <c r="K644">
        <v>2026</v>
      </c>
      <c r="L644">
        <v>8</v>
      </c>
      <c r="M644">
        <v>23</v>
      </c>
      <c r="N644" t="s">
        <v>43</v>
      </c>
      <c r="O644" t="s">
        <v>13</v>
      </c>
      <c r="P644" t="s">
        <v>42</v>
      </c>
      <c r="Q644" t="s">
        <v>40</v>
      </c>
    </row>
    <row r="645" spans="1:17" x14ac:dyDescent="0.35">
      <c r="A645">
        <v>656</v>
      </c>
      <c r="B645">
        <v>10</v>
      </c>
      <c r="C645">
        <v>19</v>
      </c>
      <c r="D645">
        <v>10</v>
      </c>
      <c r="E645" s="1">
        <v>46192.708333333343</v>
      </c>
      <c r="F645">
        <v>6</v>
      </c>
      <c r="G645">
        <v>48</v>
      </c>
      <c r="H645" t="s">
        <v>22</v>
      </c>
      <c r="I645" t="s">
        <v>31</v>
      </c>
      <c r="J645">
        <v>8</v>
      </c>
      <c r="K645">
        <v>2026</v>
      </c>
      <c r="L645">
        <v>6</v>
      </c>
      <c r="M645">
        <v>17</v>
      </c>
      <c r="N645" t="s">
        <v>43</v>
      </c>
      <c r="O645" t="s">
        <v>13</v>
      </c>
      <c r="P645" t="s">
        <v>58</v>
      </c>
      <c r="Q645" t="s">
        <v>32</v>
      </c>
    </row>
    <row r="646" spans="1:17" x14ac:dyDescent="0.35">
      <c r="A646">
        <v>657</v>
      </c>
      <c r="B646">
        <v>7</v>
      </c>
      <c r="C646">
        <v>10</v>
      </c>
      <c r="D646">
        <v>8</v>
      </c>
      <c r="E646" s="1">
        <v>46224.770833333343</v>
      </c>
      <c r="F646">
        <v>3</v>
      </c>
      <c r="G646">
        <v>24</v>
      </c>
      <c r="H646" t="s">
        <v>22</v>
      </c>
      <c r="I646" t="s">
        <v>18</v>
      </c>
      <c r="J646">
        <v>8</v>
      </c>
      <c r="K646">
        <v>2026</v>
      </c>
      <c r="L646">
        <v>7</v>
      </c>
      <c r="M646">
        <v>18</v>
      </c>
      <c r="N646" t="s">
        <v>37</v>
      </c>
      <c r="O646" t="s">
        <v>13</v>
      </c>
      <c r="P646" t="s">
        <v>25</v>
      </c>
      <c r="Q646" t="s">
        <v>46</v>
      </c>
    </row>
    <row r="647" spans="1:17" x14ac:dyDescent="0.35">
      <c r="A647">
        <v>658</v>
      </c>
      <c r="B647">
        <v>13</v>
      </c>
      <c r="C647">
        <v>18</v>
      </c>
      <c r="D647">
        <v>9</v>
      </c>
      <c r="E647" s="1">
        <v>46114.666666666657</v>
      </c>
      <c r="F647">
        <v>2</v>
      </c>
      <c r="G647">
        <v>16</v>
      </c>
      <c r="H647" t="s">
        <v>22</v>
      </c>
      <c r="I647" t="s">
        <v>18</v>
      </c>
      <c r="J647">
        <v>8</v>
      </c>
      <c r="K647">
        <v>2026</v>
      </c>
      <c r="L647">
        <v>4</v>
      </c>
      <c r="M647">
        <v>16</v>
      </c>
      <c r="N647" t="s">
        <v>41</v>
      </c>
      <c r="O647" t="s">
        <v>13</v>
      </c>
      <c r="P647" t="s">
        <v>47</v>
      </c>
      <c r="Q647" t="s">
        <v>30</v>
      </c>
    </row>
    <row r="648" spans="1:17" x14ac:dyDescent="0.35">
      <c r="A648">
        <v>659</v>
      </c>
      <c r="B648">
        <v>5</v>
      </c>
      <c r="C648">
        <v>16</v>
      </c>
      <c r="D648">
        <v>6</v>
      </c>
      <c r="E648" s="1">
        <v>46207.729166666657</v>
      </c>
      <c r="F648">
        <v>1</v>
      </c>
      <c r="G648">
        <v>9</v>
      </c>
      <c r="H648" t="s">
        <v>22</v>
      </c>
      <c r="I648" t="s">
        <v>27</v>
      </c>
      <c r="J648">
        <v>9</v>
      </c>
      <c r="K648">
        <v>2026</v>
      </c>
      <c r="L648">
        <v>7</v>
      </c>
      <c r="M648">
        <v>17</v>
      </c>
      <c r="N648" t="s">
        <v>23</v>
      </c>
      <c r="O648" t="s">
        <v>24</v>
      </c>
      <c r="P648" t="s">
        <v>51</v>
      </c>
      <c r="Q648" t="s">
        <v>21</v>
      </c>
    </row>
    <row r="649" spans="1:17" x14ac:dyDescent="0.35">
      <c r="A649">
        <v>660</v>
      </c>
      <c r="B649">
        <v>10</v>
      </c>
      <c r="C649">
        <v>14</v>
      </c>
      <c r="D649">
        <v>9</v>
      </c>
      <c r="E649" s="1">
        <v>46330.583333333343</v>
      </c>
      <c r="F649">
        <v>2</v>
      </c>
      <c r="G649">
        <v>16</v>
      </c>
      <c r="H649" t="s">
        <v>22</v>
      </c>
      <c r="I649" t="s">
        <v>27</v>
      </c>
      <c r="J649">
        <v>8</v>
      </c>
      <c r="K649">
        <v>2026</v>
      </c>
      <c r="L649">
        <v>11</v>
      </c>
      <c r="M649">
        <v>14</v>
      </c>
      <c r="N649" t="s">
        <v>19</v>
      </c>
      <c r="O649" t="s">
        <v>13</v>
      </c>
      <c r="P649" t="s">
        <v>29</v>
      </c>
      <c r="Q649" t="s">
        <v>30</v>
      </c>
    </row>
    <row r="650" spans="1:17" x14ac:dyDescent="0.35">
      <c r="A650">
        <v>661</v>
      </c>
      <c r="B650">
        <v>4</v>
      </c>
      <c r="C650">
        <v>17</v>
      </c>
      <c r="D650">
        <v>6</v>
      </c>
      <c r="E650" s="1">
        <v>46095.729166666657</v>
      </c>
      <c r="F650">
        <v>3</v>
      </c>
      <c r="G650">
        <v>27</v>
      </c>
      <c r="H650" t="s">
        <v>22</v>
      </c>
      <c r="I650" t="s">
        <v>18</v>
      </c>
      <c r="J650">
        <v>9</v>
      </c>
      <c r="K650">
        <v>2026</v>
      </c>
      <c r="L650">
        <v>3</v>
      </c>
      <c r="M650">
        <v>17</v>
      </c>
      <c r="N650" t="s">
        <v>23</v>
      </c>
      <c r="O650" t="s">
        <v>24</v>
      </c>
      <c r="P650" t="s">
        <v>56</v>
      </c>
      <c r="Q650" t="s">
        <v>21</v>
      </c>
    </row>
    <row r="651" spans="1:17" x14ac:dyDescent="0.35">
      <c r="A651">
        <v>662</v>
      </c>
      <c r="B651">
        <v>4</v>
      </c>
      <c r="C651">
        <v>10</v>
      </c>
      <c r="D651">
        <v>7</v>
      </c>
      <c r="E651" s="1">
        <v>46351.583333333343</v>
      </c>
      <c r="F651">
        <v>5</v>
      </c>
      <c r="G651">
        <v>40</v>
      </c>
      <c r="H651" t="s">
        <v>22</v>
      </c>
      <c r="I651" t="s">
        <v>27</v>
      </c>
      <c r="J651">
        <v>8</v>
      </c>
      <c r="K651">
        <v>2026</v>
      </c>
      <c r="L651">
        <v>11</v>
      </c>
      <c r="M651">
        <v>14</v>
      </c>
      <c r="N651" t="s">
        <v>19</v>
      </c>
      <c r="O651" t="s">
        <v>13</v>
      </c>
      <c r="P651" t="s">
        <v>25</v>
      </c>
      <c r="Q651" t="s">
        <v>35</v>
      </c>
    </row>
    <row r="652" spans="1:17" x14ac:dyDescent="0.35">
      <c r="A652">
        <v>663</v>
      </c>
      <c r="B652">
        <v>2</v>
      </c>
      <c r="C652">
        <v>2</v>
      </c>
      <c r="D652">
        <v>4</v>
      </c>
      <c r="E652" s="1">
        <v>46201.979166666657</v>
      </c>
      <c r="F652">
        <v>5</v>
      </c>
      <c r="G652">
        <v>50</v>
      </c>
      <c r="H652" t="s">
        <v>17</v>
      </c>
      <c r="I652" t="s">
        <v>18</v>
      </c>
      <c r="J652">
        <v>10</v>
      </c>
      <c r="K652">
        <v>2026</v>
      </c>
      <c r="L652">
        <v>6</v>
      </c>
      <c r="M652">
        <v>23</v>
      </c>
      <c r="N652" t="s">
        <v>28</v>
      </c>
      <c r="O652" t="s">
        <v>24</v>
      </c>
      <c r="P652" t="s">
        <v>44</v>
      </c>
      <c r="Q652" t="s">
        <v>26</v>
      </c>
    </row>
    <row r="653" spans="1:17" x14ac:dyDescent="0.35">
      <c r="A653">
        <v>664</v>
      </c>
      <c r="B653">
        <v>3</v>
      </c>
      <c r="C653">
        <v>9</v>
      </c>
      <c r="D653">
        <v>1</v>
      </c>
      <c r="E653" s="1">
        <v>46148.729166666657</v>
      </c>
      <c r="F653">
        <v>1</v>
      </c>
      <c r="G653">
        <v>8</v>
      </c>
      <c r="H653" t="s">
        <v>17</v>
      </c>
      <c r="I653" t="s">
        <v>31</v>
      </c>
      <c r="J653">
        <v>8</v>
      </c>
      <c r="K653">
        <v>2026</v>
      </c>
      <c r="L653">
        <v>5</v>
      </c>
      <c r="M653">
        <v>17</v>
      </c>
      <c r="N653" t="s">
        <v>19</v>
      </c>
      <c r="O653" t="s">
        <v>13</v>
      </c>
      <c r="P653" t="s">
        <v>48</v>
      </c>
      <c r="Q653" t="s">
        <v>40</v>
      </c>
    </row>
    <row r="654" spans="1:17" x14ac:dyDescent="0.35">
      <c r="A654">
        <v>665</v>
      </c>
      <c r="B654">
        <v>18</v>
      </c>
      <c r="C654">
        <v>4</v>
      </c>
      <c r="D654">
        <v>2</v>
      </c>
      <c r="E654" s="1">
        <v>46318.583333333343</v>
      </c>
      <c r="F654">
        <v>5</v>
      </c>
      <c r="G654">
        <v>40</v>
      </c>
      <c r="H654" t="s">
        <v>17</v>
      </c>
      <c r="I654" t="s">
        <v>31</v>
      </c>
      <c r="J654">
        <v>8</v>
      </c>
      <c r="K654">
        <v>2026</v>
      </c>
      <c r="L654">
        <v>10</v>
      </c>
      <c r="M654">
        <v>14</v>
      </c>
      <c r="N654" t="s">
        <v>43</v>
      </c>
      <c r="O654" t="s">
        <v>13</v>
      </c>
      <c r="P654" t="s">
        <v>55</v>
      </c>
      <c r="Q654" t="s">
        <v>54</v>
      </c>
    </row>
    <row r="655" spans="1:17" x14ac:dyDescent="0.35">
      <c r="A655">
        <v>666</v>
      </c>
      <c r="B655">
        <v>20</v>
      </c>
      <c r="C655">
        <v>11</v>
      </c>
      <c r="D655">
        <v>7</v>
      </c>
      <c r="E655" s="1">
        <v>46284.958333333343</v>
      </c>
      <c r="F655">
        <v>2</v>
      </c>
      <c r="G655">
        <v>20</v>
      </c>
      <c r="H655" t="s">
        <v>22</v>
      </c>
      <c r="I655" t="s">
        <v>31</v>
      </c>
      <c r="J655">
        <v>10</v>
      </c>
      <c r="K655">
        <v>2026</v>
      </c>
      <c r="L655">
        <v>9</v>
      </c>
      <c r="M655">
        <v>23</v>
      </c>
      <c r="N655" t="s">
        <v>23</v>
      </c>
      <c r="O655" t="s">
        <v>24</v>
      </c>
      <c r="P655" t="s">
        <v>59</v>
      </c>
      <c r="Q655" t="s">
        <v>35</v>
      </c>
    </row>
    <row r="656" spans="1:17" x14ac:dyDescent="0.35">
      <c r="A656">
        <v>667</v>
      </c>
      <c r="B656">
        <v>19</v>
      </c>
      <c r="C656">
        <v>3</v>
      </c>
      <c r="D656">
        <v>4</v>
      </c>
      <c r="E656" s="1">
        <v>46215.6875</v>
      </c>
      <c r="F656">
        <v>4</v>
      </c>
      <c r="G656">
        <v>36</v>
      </c>
      <c r="H656" t="s">
        <v>22</v>
      </c>
      <c r="I656" t="s">
        <v>31</v>
      </c>
      <c r="J656">
        <v>9</v>
      </c>
      <c r="K656">
        <v>2026</v>
      </c>
      <c r="L656">
        <v>7</v>
      </c>
      <c r="M656">
        <v>16</v>
      </c>
      <c r="N656" t="s">
        <v>28</v>
      </c>
      <c r="O656" t="s">
        <v>24</v>
      </c>
      <c r="P656" t="s">
        <v>20</v>
      </c>
      <c r="Q656" t="s">
        <v>26</v>
      </c>
    </row>
    <row r="657" spans="1:17" x14ac:dyDescent="0.35">
      <c r="A657">
        <v>668</v>
      </c>
      <c r="B657">
        <v>3</v>
      </c>
      <c r="C657">
        <v>12</v>
      </c>
      <c r="D657">
        <v>6</v>
      </c>
      <c r="E657" s="1">
        <v>46050.854166666657</v>
      </c>
      <c r="F657">
        <v>1</v>
      </c>
      <c r="G657">
        <v>8</v>
      </c>
      <c r="H657" t="s">
        <v>22</v>
      </c>
      <c r="I657" t="s">
        <v>18</v>
      </c>
      <c r="J657">
        <v>8</v>
      </c>
      <c r="K657">
        <v>2026</v>
      </c>
      <c r="L657">
        <v>1</v>
      </c>
      <c r="M657">
        <v>20</v>
      </c>
      <c r="N657" t="s">
        <v>19</v>
      </c>
      <c r="O657" t="s">
        <v>13</v>
      </c>
      <c r="P657" t="s">
        <v>57</v>
      </c>
      <c r="Q657" t="s">
        <v>21</v>
      </c>
    </row>
    <row r="658" spans="1:17" x14ac:dyDescent="0.35">
      <c r="A658">
        <v>669</v>
      </c>
      <c r="B658">
        <v>5</v>
      </c>
      <c r="C658">
        <v>14</v>
      </c>
      <c r="D658">
        <v>7</v>
      </c>
      <c r="E658" s="1">
        <v>46362.75</v>
      </c>
      <c r="F658">
        <v>5</v>
      </c>
      <c r="G658">
        <v>45</v>
      </c>
      <c r="H658" t="s">
        <v>22</v>
      </c>
      <c r="I658" t="s">
        <v>27</v>
      </c>
      <c r="J658">
        <v>9</v>
      </c>
      <c r="K658">
        <v>2026</v>
      </c>
      <c r="L658">
        <v>12</v>
      </c>
      <c r="M658">
        <v>18</v>
      </c>
      <c r="N658" t="s">
        <v>28</v>
      </c>
      <c r="O658" t="s">
        <v>24</v>
      </c>
      <c r="P658" t="s">
        <v>29</v>
      </c>
      <c r="Q658" t="s">
        <v>35</v>
      </c>
    </row>
    <row r="659" spans="1:17" x14ac:dyDescent="0.35">
      <c r="A659">
        <v>670</v>
      </c>
      <c r="B659">
        <v>20</v>
      </c>
      <c r="C659">
        <v>10</v>
      </c>
      <c r="D659">
        <v>2</v>
      </c>
      <c r="E659" s="1">
        <v>46056.75</v>
      </c>
      <c r="F659">
        <v>2</v>
      </c>
      <c r="G659">
        <v>16</v>
      </c>
      <c r="H659" t="s">
        <v>22</v>
      </c>
      <c r="I659" t="s">
        <v>27</v>
      </c>
      <c r="J659">
        <v>8</v>
      </c>
      <c r="K659">
        <v>2026</v>
      </c>
      <c r="L659">
        <v>2</v>
      </c>
      <c r="M659">
        <v>18</v>
      </c>
      <c r="N659" t="s">
        <v>37</v>
      </c>
      <c r="O659" t="s">
        <v>13</v>
      </c>
      <c r="P659" t="s">
        <v>25</v>
      </c>
      <c r="Q659" t="s">
        <v>54</v>
      </c>
    </row>
    <row r="660" spans="1:17" x14ac:dyDescent="0.35">
      <c r="A660">
        <v>671</v>
      </c>
      <c r="B660">
        <v>19</v>
      </c>
      <c r="C660">
        <v>10</v>
      </c>
      <c r="D660">
        <v>7</v>
      </c>
      <c r="E660" s="1">
        <v>46153.9375</v>
      </c>
      <c r="F660">
        <v>2</v>
      </c>
      <c r="G660">
        <v>18</v>
      </c>
      <c r="H660" t="s">
        <v>22</v>
      </c>
      <c r="I660" t="s">
        <v>18</v>
      </c>
      <c r="J660">
        <v>9</v>
      </c>
      <c r="K660">
        <v>2026</v>
      </c>
      <c r="L660">
        <v>5</v>
      </c>
      <c r="M660">
        <v>22</v>
      </c>
      <c r="N660" t="s">
        <v>33</v>
      </c>
      <c r="O660" t="s">
        <v>13</v>
      </c>
      <c r="P660" t="s">
        <v>25</v>
      </c>
      <c r="Q660" t="s">
        <v>35</v>
      </c>
    </row>
    <row r="661" spans="1:17" x14ac:dyDescent="0.35">
      <c r="A661">
        <v>672</v>
      </c>
      <c r="B661">
        <v>10</v>
      </c>
      <c r="C661">
        <v>8</v>
      </c>
      <c r="D661">
        <v>10</v>
      </c>
      <c r="E661" s="1">
        <v>46174.666666666657</v>
      </c>
      <c r="F661">
        <v>2</v>
      </c>
      <c r="G661">
        <v>16</v>
      </c>
      <c r="H661" t="s">
        <v>22</v>
      </c>
      <c r="I661" t="s">
        <v>18</v>
      </c>
      <c r="J661">
        <v>8</v>
      </c>
      <c r="K661">
        <v>2026</v>
      </c>
      <c r="L661">
        <v>6</v>
      </c>
      <c r="M661">
        <v>16</v>
      </c>
      <c r="N661" t="s">
        <v>33</v>
      </c>
      <c r="O661" t="s">
        <v>13</v>
      </c>
      <c r="P661" t="s">
        <v>42</v>
      </c>
      <c r="Q661" t="s">
        <v>32</v>
      </c>
    </row>
    <row r="662" spans="1:17" x14ac:dyDescent="0.35">
      <c r="A662">
        <v>673</v>
      </c>
      <c r="B662">
        <v>8</v>
      </c>
      <c r="C662">
        <v>2</v>
      </c>
      <c r="D662">
        <v>6</v>
      </c>
      <c r="E662" s="1">
        <v>46207.958333333343</v>
      </c>
      <c r="F662">
        <v>2</v>
      </c>
      <c r="G662">
        <v>20</v>
      </c>
      <c r="H662" t="s">
        <v>22</v>
      </c>
      <c r="I662" t="s">
        <v>18</v>
      </c>
      <c r="J662">
        <v>10</v>
      </c>
      <c r="K662">
        <v>2026</v>
      </c>
      <c r="L662">
        <v>7</v>
      </c>
      <c r="M662">
        <v>23</v>
      </c>
      <c r="N662" t="s">
        <v>23</v>
      </c>
      <c r="O662" t="s">
        <v>24</v>
      </c>
      <c r="P662" t="s">
        <v>44</v>
      </c>
      <c r="Q662" t="s">
        <v>21</v>
      </c>
    </row>
    <row r="663" spans="1:17" x14ac:dyDescent="0.35">
      <c r="A663">
        <v>674</v>
      </c>
      <c r="B663">
        <v>9</v>
      </c>
      <c r="C663">
        <v>3</v>
      </c>
      <c r="D663">
        <v>4</v>
      </c>
      <c r="E663" s="1">
        <v>46123.854166666657</v>
      </c>
      <c r="F663">
        <v>4</v>
      </c>
      <c r="G663">
        <v>36</v>
      </c>
      <c r="H663" t="s">
        <v>17</v>
      </c>
      <c r="I663" t="s">
        <v>27</v>
      </c>
      <c r="J663">
        <v>9</v>
      </c>
      <c r="K663">
        <v>2026</v>
      </c>
      <c r="L663">
        <v>4</v>
      </c>
      <c r="M663">
        <v>20</v>
      </c>
      <c r="N663" t="s">
        <v>23</v>
      </c>
      <c r="O663" t="s">
        <v>24</v>
      </c>
      <c r="P663" t="s">
        <v>20</v>
      </c>
      <c r="Q663" t="s">
        <v>26</v>
      </c>
    </row>
    <row r="664" spans="1:17" x14ac:dyDescent="0.35">
      <c r="A664">
        <v>675</v>
      </c>
      <c r="B664">
        <v>4</v>
      </c>
      <c r="C664">
        <v>4</v>
      </c>
      <c r="D664">
        <v>8</v>
      </c>
      <c r="E664" s="1">
        <v>46380.833333333343</v>
      </c>
      <c r="F664">
        <v>1</v>
      </c>
      <c r="G664">
        <v>8</v>
      </c>
      <c r="H664" t="s">
        <v>22</v>
      </c>
      <c r="I664" t="s">
        <v>18</v>
      </c>
      <c r="J664">
        <v>8</v>
      </c>
      <c r="K664">
        <v>2026</v>
      </c>
      <c r="L664">
        <v>12</v>
      </c>
      <c r="M664">
        <v>20</v>
      </c>
      <c r="N664" t="s">
        <v>41</v>
      </c>
      <c r="O664" t="s">
        <v>13</v>
      </c>
      <c r="P664" t="s">
        <v>55</v>
      </c>
      <c r="Q664" t="s">
        <v>46</v>
      </c>
    </row>
    <row r="665" spans="1:17" x14ac:dyDescent="0.35">
      <c r="A665">
        <v>676</v>
      </c>
      <c r="B665">
        <v>19</v>
      </c>
      <c r="C665">
        <v>14</v>
      </c>
      <c r="D665">
        <v>1</v>
      </c>
      <c r="E665" s="1">
        <v>46036.875</v>
      </c>
      <c r="F665">
        <v>3</v>
      </c>
      <c r="G665">
        <v>27</v>
      </c>
      <c r="H665" t="s">
        <v>22</v>
      </c>
      <c r="I665" t="s">
        <v>27</v>
      </c>
      <c r="J665">
        <v>9</v>
      </c>
      <c r="K665">
        <v>2026</v>
      </c>
      <c r="L665">
        <v>1</v>
      </c>
      <c r="M665">
        <v>21</v>
      </c>
      <c r="N665" t="s">
        <v>19</v>
      </c>
      <c r="O665" t="s">
        <v>13</v>
      </c>
      <c r="P665" t="s">
        <v>29</v>
      </c>
      <c r="Q665" t="s">
        <v>40</v>
      </c>
    </row>
    <row r="666" spans="1:17" x14ac:dyDescent="0.35">
      <c r="A666">
        <v>677</v>
      </c>
      <c r="B666">
        <v>2</v>
      </c>
      <c r="C666">
        <v>9</v>
      </c>
      <c r="D666">
        <v>5</v>
      </c>
      <c r="E666" s="1">
        <v>46343.875</v>
      </c>
      <c r="F666">
        <v>6</v>
      </c>
      <c r="G666">
        <v>54</v>
      </c>
      <c r="H666" t="s">
        <v>22</v>
      </c>
      <c r="I666" t="s">
        <v>31</v>
      </c>
      <c r="J666">
        <v>9</v>
      </c>
      <c r="K666">
        <v>2026</v>
      </c>
      <c r="L666">
        <v>11</v>
      </c>
      <c r="M666">
        <v>21</v>
      </c>
      <c r="N666" t="s">
        <v>37</v>
      </c>
      <c r="O666" t="s">
        <v>13</v>
      </c>
      <c r="P666" t="s">
        <v>48</v>
      </c>
      <c r="Q666" t="s">
        <v>50</v>
      </c>
    </row>
    <row r="667" spans="1:17" x14ac:dyDescent="0.35">
      <c r="A667">
        <v>678</v>
      </c>
      <c r="B667">
        <v>1</v>
      </c>
      <c r="C667">
        <v>19</v>
      </c>
      <c r="D667">
        <v>6</v>
      </c>
      <c r="E667" s="1">
        <v>46063.6875</v>
      </c>
      <c r="F667">
        <v>4</v>
      </c>
      <c r="G667">
        <v>32</v>
      </c>
      <c r="H667" t="s">
        <v>22</v>
      </c>
      <c r="I667" t="s">
        <v>18</v>
      </c>
      <c r="J667">
        <v>8</v>
      </c>
      <c r="K667">
        <v>2026</v>
      </c>
      <c r="L667">
        <v>2</v>
      </c>
      <c r="M667">
        <v>16</v>
      </c>
      <c r="N667" t="s">
        <v>37</v>
      </c>
      <c r="O667" t="s">
        <v>13</v>
      </c>
      <c r="P667" t="s">
        <v>58</v>
      </c>
      <c r="Q667" t="s">
        <v>21</v>
      </c>
    </row>
    <row r="668" spans="1:17" x14ac:dyDescent="0.35">
      <c r="A668">
        <v>679</v>
      </c>
      <c r="B668">
        <v>7</v>
      </c>
      <c r="C668">
        <v>9</v>
      </c>
      <c r="D668">
        <v>4</v>
      </c>
      <c r="E668" s="1">
        <v>46341.9375</v>
      </c>
      <c r="F668">
        <v>1</v>
      </c>
      <c r="G668">
        <v>10</v>
      </c>
      <c r="H668" t="s">
        <v>22</v>
      </c>
      <c r="I668" t="s">
        <v>27</v>
      </c>
      <c r="J668">
        <v>10</v>
      </c>
      <c r="K668">
        <v>2026</v>
      </c>
      <c r="L668">
        <v>11</v>
      </c>
      <c r="M668">
        <v>22</v>
      </c>
      <c r="N668" t="s">
        <v>28</v>
      </c>
      <c r="O668" t="s">
        <v>24</v>
      </c>
      <c r="P668" t="s">
        <v>48</v>
      </c>
      <c r="Q668" t="s">
        <v>26</v>
      </c>
    </row>
    <row r="669" spans="1:17" x14ac:dyDescent="0.35">
      <c r="A669">
        <v>680</v>
      </c>
      <c r="B669">
        <v>5</v>
      </c>
      <c r="C669">
        <v>11</v>
      </c>
      <c r="D669">
        <v>1</v>
      </c>
      <c r="E669" s="1">
        <v>46095.729166666657</v>
      </c>
      <c r="F669">
        <v>4</v>
      </c>
      <c r="G669">
        <v>36</v>
      </c>
      <c r="H669" t="s">
        <v>22</v>
      </c>
      <c r="I669" t="s">
        <v>18</v>
      </c>
      <c r="J669">
        <v>9</v>
      </c>
      <c r="K669">
        <v>2026</v>
      </c>
      <c r="L669">
        <v>3</v>
      </c>
      <c r="M669">
        <v>17</v>
      </c>
      <c r="N669" t="s">
        <v>23</v>
      </c>
      <c r="O669" t="s">
        <v>24</v>
      </c>
      <c r="P669" t="s">
        <v>59</v>
      </c>
      <c r="Q669" t="s">
        <v>40</v>
      </c>
    </row>
    <row r="670" spans="1:17" x14ac:dyDescent="0.35">
      <c r="A670">
        <v>681</v>
      </c>
      <c r="B670">
        <v>20</v>
      </c>
      <c r="C670">
        <v>18</v>
      </c>
      <c r="D670">
        <v>4</v>
      </c>
      <c r="E670" s="1">
        <v>46089.6875</v>
      </c>
      <c r="F670">
        <v>1</v>
      </c>
      <c r="G670">
        <v>9</v>
      </c>
      <c r="H670" t="s">
        <v>22</v>
      </c>
      <c r="I670" t="s">
        <v>31</v>
      </c>
      <c r="J670">
        <v>9</v>
      </c>
      <c r="K670">
        <v>2026</v>
      </c>
      <c r="L670">
        <v>3</v>
      </c>
      <c r="M670">
        <v>16</v>
      </c>
      <c r="N670" t="s">
        <v>28</v>
      </c>
      <c r="O670" t="s">
        <v>24</v>
      </c>
      <c r="P670" t="s">
        <v>47</v>
      </c>
      <c r="Q670" t="s">
        <v>26</v>
      </c>
    </row>
    <row r="671" spans="1:17" x14ac:dyDescent="0.35">
      <c r="A671">
        <v>682</v>
      </c>
      <c r="B671">
        <v>20</v>
      </c>
      <c r="C671">
        <v>20</v>
      </c>
      <c r="D671">
        <v>4</v>
      </c>
      <c r="E671" s="1">
        <v>46324.958333333343</v>
      </c>
      <c r="F671">
        <v>1</v>
      </c>
      <c r="G671">
        <v>9</v>
      </c>
      <c r="H671" t="s">
        <v>22</v>
      </c>
      <c r="I671" t="s">
        <v>18</v>
      </c>
      <c r="J671">
        <v>9</v>
      </c>
      <c r="K671">
        <v>2026</v>
      </c>
      <c r="L671">
        <v>10</v>
      </c>
      <c r="M671">
        <v>23</v>
      </c>
      <c r="N671" t="s">
        <v>41</v>
      </c>
      <c r="O671" t="s">
        <v>13</v>
      </c>
      <c r="P671" t="s">
        <v>36</v>
      </c>
      <c r="Q671" t="s">
        <v>26</v>
      </c>
    </row>
    <row r="672" spans="1:17" x14ac:dyDescent="0.35">
      <c r="A672">
        <v>683</v>
      </c>
      <c r="B672">
        <v>1</v>
      </c>
      <c r="C672">
        <v>10</v>
      </c>
      <c r="D672">
        <v>7</v>
      </c>
      <c r="E672" s="1">
        <v>46120.8125</v>
      </c>
      <c r="F672">
        <v>6</v>
      </c>
      <c r="G672">
        <v>48</v>
      </c>
      <c r="H672" t="s">
        <v>22</v>
      </c>
      <c r="I672" t="s">
        <v>31</v>
      </c>
      <c r="J672">
        <v>8</v>
      </c>
      <c r="K672">
        <v>2026</v>
      </c>
      <c r="L672">
        <v>4</v>
      </c>
      <c r="M672">
        <v>19</v>
      </c>
      <c r="N672" t="s">
        <v>19</v>
      </c>
      <c r="O672" t="s">
        <v>13</v>
      </c>
      <c r="P672" t="s">
        <v>25</v>
      </c>
      <c r="Q672" t="s">
        <v>35</v>
      </c>
    </row>
    <row r="673" spans="1:17" x14ac:dyDescent="0.35">
      <c r="A673">
        <v>684</v>
      </c>
      <c r="B673">
        <v>17</v>
      </c>
      <c r="C673">
        <v>20</v>
      </c>
      <c r="D673">
        <v>1</v>
      </c>
      <c r="E673" s="1">
        <v>46114.958333333343</v>
      </c>
      <c r="F673">
        <v>5</v>
      </c>
      <c r="G673">
        <v>45</v>
      </c>
      <c r="H673" t="s">
        <v>22</v>
      </c>
      <c r="I673" t="s">
        <v>27</v>
      </c>
      <c r="J673">
        <v>9</v>
      </c>
      <c r="K673">
        <v>2026</v>
      </c>
      <c r="L673">
        <v>4</v>
      </c>
      <c r="M673">
        <v>23</v>
      </c>
      <c r="N673" t="s">
        <v>41</v>
      </c>
      <c r="O673" t="s">
        <v>13</v>
      </c>
      <c r="P673" t="s">
        <v>36</v>
      </c>
      <c r="Q673" t="s">
        <v>40</v>
      </c>
    </row>
    <row r="674" spans="1:17" x14ac:dyDescent="0.35">
      <c r="A674">
        <v>685</v>
      </c>
      <c r="B674">
        <v>11</v>
      </c>
      <c r="C674">
        <v>7</v>
      </c>
      <c r="D674">
        <v>9</v>
      </c>
      <c r="E674" s="1">
        <v>46166.875</v>
      </c>
      <c r="F674">
        <v>2</v>
      </c>
      <c r="G674">
        <v>20</v>
      </c>
      <c r="H674" t="s">
        <v>22</v>
      </c>
      <c r="I674" t="s">
        <v>18</v>
      </c>
      <c r="J674">
        <v>10</v>
      </c>
      <c r="K674">
        <v>2026</v>
      </c>
      <c r="L674">
        <v>5</v>
      </c>
      <c r="M674">
        <v>21</v>
      </c>
      <c r="N674" t="s">
        <v>28</v>
      </c>
      <c r="O674" t="s">
        <v>24</v>
      </c>
      <c r="P674" t="s">
        <v>34</v>
      </c>
      <c r="Q674" t="s">
        <v>30</v>
      </c>
    </row>
    <row r="675" spans="1:17" x14ac:dyDescent="0.35">
      <c r="A675">
        <v>686</v>
      </c>
      <c r="B675">
        <v>8</v>
      </c>
      <c r="C675">
        <v>19</v>
      </c>
      <c r="D675">
        <v>5</v>
      </c>
      <c r="E675" s="1">
        <v>46121.625</v>
      </c>
      <c r="F675">
        <v>2</v>
      </c>
      <c r="G675">
        <v>16</v>
      </c>
      <c r="H675" t="s">
        <v>22</v>
      </c>
      <c r="I675" t="s">
        <v>31</v>
      </c>
      <c r="J675">
        <v>8</v>
      </c>
      <c r="K675">
        <v>2026</v>
      </c>
      <c r="L675">
        <v>4</v>
      </c>
      <c r="M675">
        <v>15</v>
      </c>
      <c r="N675" t="s">
        <v>41</v>
      </c>
      <c r="O675" t="s">
        <v>13</v>
      </c>
      <c r="P675" t="s">
        <v>58</v>
      </c>
      <c r="Q675" t="s">
        <v>50</v>
      </c>
    </row>
    <row r="676" spans="1:17" x14ac:dyDescent="0.35">
      <c r="A676">
        <v>687</v>
      </c>
      <c r="B676">
        <v>19</v>
      </c>
      <c r="C676">
        <v>16</v>
      </c>
      <c r="D676">
        <v>7</v>
      </c>
      <c r="E676" s="1">
        <v>46025.916666666657</v>
      </c>
      <c r="F676">
        <v>5</v>
      </c>
      <c r="G676">
        <v>50</v>
      </c>
      <c r="H676" t="s">
        <v>22</v>
      </c>
      <c r="I676" t="s">
        <v>27</v>
      </c>
      <c r="J676">
        <v>10</v>
      </c>
      <c r="K676">
        <v>2026</v>
      </c>
      <c r="L676">
        <v>1</v>
      </c>
      <c r="M676">
        <v>22</v>
      </c>
      <c r="N676" t="s">
        <v>23</v>
      </c>
      <c r="O676" t="s">
        <v>24</v>
      </c>
      <c r="P676" t="s">
        <v>51</v>
      </c>
      <c r="Q676" t="s">
        <v>35</v>
      </c>
    </row>
    <row r="677" spans="1:17" x14ac:dyDescent="0.35">
      <c r="A677">
        <v>688</v>
      </c>
      <c r="B677">
        <v>5</v>
      </c>
      <c r="C677">
        <v>12</v>
      </c>
      <c r="D677">
        <v>6</v>
      </c>
      <c r="E677" s="1">
        <v>46144.9375</v>
      </c>
      <c r="F677">
        <v>3</v>
      </c>
      <c r="G677">
        <v>30</v>
      </c>
      <c r="H677" t="s">
        <v>22</v>
      </c>
      <c r="I677" t="s">
        <v>31</v>
      </c>
      <c r="J677">
        <v>10</v>
      </c>
      <c r="K677">
        <v>2026</v>
      </c>
      <c r="L677">
        <v>5</v>
      </c>
      <c r="M677">
        <v>22</v>
      </c>
      <c r="N677" t="s">
        <v>23</v>
      </c>
      <c r="O677" t="s">
        <v>24</v>
      </c>
      <c r="P677" t="s">
        <v>57</v>
      </c>
      <c r="Q677" t="s">
        <v>21</v>
      </c>
    </row>
    <row r="678" spans="1:17" x14ac:dyDescent="0.35">
      <c r="A678">
        <v>689</v>
      </c>
      <c r="B678">
        <v>8</v>
      </c>
      <c r="C678">
        <v>8</v>
      </c>
      <c r="D678">
        <v>2</v>
      </c>
      <c r="E678" s="1">
        <v>46144.9375</v>
      </c>
      <c r="F678">
        <v>5</v>
      </c>
      <c r="G678">
        <v>50</v>
      </c>
      <c r="H678" t="s">
        <v>22</v>
      </c>
      <c r="I678" t="s">
        <v>18</v>
      </c>
      <c r="J678">
        <v>10</v>
      </c>
      <c r="K678">
        <v>2026</v>
      </c>
      <c r="L678">
        <v>5</v>
      </c>
      <c r="M678">
        <v>22</v>
      </c>
      <c r="N678" t="s">
        <v>23</v>
      </c>
      <c r="O678" t="s">
        <v>24</v>
      </c>
      <c r="P678" t="s">
        <v>42</v>
      </c>
      <c r="Q678" t="s">
        <v>54</v>
      </c>
    </row>
    <row r="679" spans="1:17" x14ac:dyDescent="0.35">
      <c r="A679">
        <v>690</v>
      </c>
      <c r="B679">
        <v>15</v>
      </c>
      <c r="C679">
        <v>19</v>
      </c>
      <c r="D679">
        <v>6</v>
      </c>
      <c r="E679" s="1">
        <v>46039.645833333343</v>
      </c>
      <c r="F679">
        <v>2</v>
      </c>
      <c r="G679">
        <v>18</v>
      </c>
      <c r="H679" t="s">
        <v>22</v>
      </c>
      <c r="I679" t="s">
        <v>27</v>
      </c>
      <c r="J679">
        <v>9</v>
      </c>
      <c r="K679">
        <v>2026</v>
      </c>
      <c r="L679">
        <v>1</v>
      </c>
      <c r="M679">
        <v>15</v>
      </c>
      <c r="N679" t="s">
        <v>23</v>
      </c>
      <c r="O679" t="s">
        <v>24</v>
      </c>
      <c r="P679" t="s">
        <v>58</v>
      </c>
      <c r="Q679" t="s">
        <v>21</v>
      </c>
    </row>
    <row r="680" spans="1:17" x14ac:dyDescent="0.35">
      <c r="A680">
        <v>691</v>
      </c>
      <c r="B680">
        <v>6</v>
      </c>
      <c r="C680">
        <v>11</v>
      </c>
      <c r="D680">
        <v>10</v>
      </c>
      <c r="E680" s="1">
        <v>46380.854166666657</v>
      </c>
      <c r="F680">
        <v>1</v>
      </c>
      <c r="G680">
        <v>8</v>
      </c>
      <c r="H680" t="s">
        <v>17</v>
      </c>
      <c r="I680" t="s">
        <v>18</v>
      </c>
      <c r="J680">
        <v>8</v>
      </c>
      <c r="K680">
        <v>2026</v>
      </c>
      <c r="L680">
        <v>12</v>
      </c>
      <c r="M680">
        <v>20</v>
      </c>
      <c r="N680" t="s">
        <v>41</v>
      </c>
      <c r="O680" t="s">
        <v>13</v>
      </c>
      <c r="P680" t="s">
        <v>59</v>
      </c>
      <c r="Q680" t="s">
        <v>32</v>
      </c>
    </row>
    <row r="681" spans="1:17" x14ac:dyDescent="0.35">
      <c r="A681">
        <v>692</v>
      </c>
      <c r="B681">
        <v>9</v>
      </c>
      <c r="C681">
        <v>7</v>
      </c>
      <c r="D681">
        <v>8</v>
      </c>
      <c r="E681" s="1">
        <v>46173.6875</v>
      </c>
      <c r="F681">
        <v>4</v>
      </c>
      <c r="G681">
        <v>36</v>
      </c>
      <c r="H681" t="s">
        <v>22</v>
      </c>
      <c r="I681" t="s">
        <v>18</v>
      </c>
      <c r="J681">
        <v>9</v>
      </c>
      <c r="K681">
        <v>2026</v>
      </c>
      <c r="L681">
        <v>5</v>
      </c>
      <c r="M681">
        <v>16</v>
      </c>
      <c r="N681" t="s">
        <v>28</v>
      </c>
      <c r="O681" t="s">
        <v>24</v>
      </c>
      <c r="P681" t="s">
        <v>34</v>
      </c>
      <c r="Q681" t="s">
        <v>46</v>
      </c>
    </row>
    <row r="682" spans="1:17" x14ac:dyDescent="0.35">
      <c r="A682">
        <v>693</v>
      </c>
      <c r="B682">
        <v>6</v>
      </c>
      <c r="C682">
        <v>18</v>
      </c>
      <c r="D682">
        <v>2</v>
      </c>
      <c r="E682" s="1">
        <v>46281.833333333343</v>
      </c>
      <c r="F682">
        <v>6</v>
      </c>
      <c r="G682">
        <v>48</v>
      </c>
      <c r="H682" t="s">
        <v>22</v>
      </c>
      <c r="I682" t="s">
        <v>18</v>
      </c>
      <c r="J682">
        <v>8</v>
      </c>
      <c r="K682">
        <v>2026</v>
      </c>
      <c r="L682">
        <v>9</v>
      </c>
      <c r="M682">
        <v>20</v>
      </c>
      <c r="N682" t="s">
        <v>19</v>
      </c>
      <c r="O682" t="s">
        <v>13</v>
      </c>
      <c r="P682" t="s">
        <v>47</v>
      </c>
      <c r="Q682" t="s">
        <v>54</v>
      </c>
    </row>
    <row r="683" spans="1:17" x14ac:dyDescent="0.35">
      <c r="A683">
        <v>694</v>
      </c>
      <c r="B683">
        <v>3</v>
      </c>
      <c r="C683">
        <v>6</v>
      </c>
      <c r="D683">
        <v>2</v>
      </c>
      <c r="E683" s="1">
        <v>46110.791666666657</v>
      </c>
      <c r="F683">
        <v>6</v>
      </c>
      <c r="G683">
        <v>54</v>
      </c>
      <c r="H683" t="s">
        <v>22</v>
      </c>
      <c r="I683" t="s">
        <v>27</v>
      </c>
      <c r="J683">
        <v>9</v>
      </c>
      <c r="K683">
        <v>2026</v>
      </c>
      <c r="L683">
        <v>3</v>
      </c>
      <c r="M683">
        <v>19</v>
      </c>
      <c r="N683" t="s">
        <v>28</v>
      </c>
      <c r="O683" t="s">
        <v>24</v>
      </c>
      <c r="P683" t="s">
        <v>52</v>
      </c>
      <c r="Q683" t="s">
        <v>54</v>
      </c>
    </row>
    <row r="684" spans="1:17" x14ac:dyDescent="0.35">
      <c r="A684">
        <v>695</v>
      </c>
      <c r="B684">
        <v>13</v>
      </c>
      <c r="C684">
        <v>12</v>
      </c>
      <c r="D684">
        <v>3</v>
      </c>
      <c r="E684" s="1">
        <v>46359.8125</v>
      </c>
      <c r="F684">
        <v>6</v>
      </c>
      <c r="G684">
        <v>48</v>
      </c>
      <c r="H684" t="s">
        <v>22</v>
      </c>
      <c r="I684" t="s">
        <v>31</v>
      </c>
      <c r="J684">
        <v>8</v>
      </c>
      <c r="K684">
        <v>2026</v>
      </c>
      <c r="L684">
        <v>12</v>
      </c>
      <c r="M684">
        <v>19</v>
      </c>
      <c r="N684" t="s">
        <v>41</v>
      </c>
      <c r="O684" t="s">
        <v>13</v>
      </c>
      <c r="P684" t="s">
        <v>57</v>
      </c>
      <c r="Q684" t="s">
        <v>45</v>
      </c>
    </row>
    <row r="685" spans="1:17" x14ac:dyDescent="0.35">
      <c r="A685">
        <v>696</v>
      </c>
      <c r="B685">
        <v>11</v>
      </c>
      <c r="C685">
        <v>7</v>
      </c>
      <c r="D685">
        <v>7</v>
      </c>
      <c r="E685" s="1">
        <v>46330.729166666657</v>
      </c>
      <c r="F685">
        <v>1</v>
      </c>
      <c r="G685">
        <v>8</v>
      </c>
      <c r="H685" t="s">
        <v>22</v>
      </c>
      <c r="I685" t="s">
        <v>27</v>
      </c>
      <c r="J685">
        <v>8</v>
      </c>
      <c r="K685">
        <v>2026</v>
      </c>
      <c r="L685">
        <v>11</v>
      </c>
      <c r="M685">
        <v>17</v>
      </c>
      <c r="N685" t="s">
        <v>19</v>
      </c>
      <c r="O685" t="s">
        <v>13</v>
      </c>
      <c r="P685" t="s">
        <v>34</v>
      </c>
      <c r="Q685" t="s">
        <v>35</v>
      </c>
    </row>
    <row r="686" spans="1:17" x14ac:dyDescent="0.35">
      <c r="A686">
        <v>697</v>
      </c>
      <c r="B686">
        <v>6</v>
      </c>
      <c r="C686">
        <v>1</v>
      </c>
      <c r="D686">
        <v>3</v>
      </c>
      <c r="E686" s="1">
        <v>46374.583333333343</v>
      </c>
      <c r="F686">
        <v>4</v>
      </c>
      <c r="G686">
        <v>32</v>
      </c>
      <c r="H686" t="s">
        <v>17</v>
      </c>
      <c r="I686" t="s">
        <v>18</v>
      </c>
      <c r="J686">
        <v>8</v>
      </c>
      <c r="K686">
        <v>2026</v>
      </c>
      <c r="L686">
        <v>12</v>
      </c>
      <c r="M686">
        <v>14</v>
      </c>
      <c r="N686" t="s">
        <v>43</v>
      </c>
      <c r="O686" t="s">
        <v>13</v>
      </c>
      <c r="P686" t="s">
        <v>39</v>
      </c>
      <c r="Q686" t="s">
        <v>45</v>
      </c>
    </row>
    <row r="687" spans="1:17" x14ac:dyDescent="0.35">
      <c r="A687">
        <v>698</v>
      </c>
      <c r="B687">
        <v>14</v>
      </c>
      <c r="C687">
        <v>18</v>
      </c>
      <c r="D687">
        <v>2</v>
      </c>
      <c r="E687" s="1">
        <v>46127.8125</v>
      </c>
      <c r="F687">
        <v>4</v>
      </c>
      <c r="G687">
        <v>32</v>
      </c>
      <c r="H687" t="s">
        <v>22</v>
      </c>
      <c r="I687" t="s">
        <v>18</v>
      </c>
      <c r="J687">
        <v>8</v>
      </c>
      <c r="K687">
        <v>2026</v>
      </c>
      <c r="L687">
        <v>4</v>
      </c>
      <c r="M687">
        <v>19</v>
      </c>
      <c r="N687" t="s">
        <v>19</v>
      </c>
      <c r="O687" t="s">
        <v>13</v>
      </c>
      <c r="P687" t="s">
        <v>47</v>
      </c>
      <c r="Q687" t="s">
        <v>54</v>
      </c>
    </row>
    <row r="688" spans="1:17" x14ac:dyDescent="0.35">
      <c r="A688">
        <v>699</v>
      </c>
      <c r="B688">
        <v>12</v>
      </c>
      <c r="C688">
        <v>12</v>
      </c>
      <c r="D688">
        <v>2</v>
      </c>
      <c r="E688" s="1">
        <v>46292.854166666657</v>
      </c>
      <c r="F688">
        <v>3</v>
      </c>
      <c r="G688">
        <v>27</v>
      </c>
      <c r="H688" t="s">
        <v>22</v>
      </c>
      <c r="I688" t="s">
        <v>27</v>
      </c>
      <c r="J688">
        <v>9</v>
      </c>
      <c r="K688">
        <v>2026</v>
      </c>
      <c r="L688">
        <v>9</v>
      </c>
      <c r="M688">
        <v>20</v>
      </c>
      <c r="N688" t="s">
        <v>28</v>
      </c>
      <c r="O688" t="s">
        <v>24</v>
      </c>
      <c r="P688" t="s">
        <v>57</v>
      </c>
      <c r="Q688" t="s">
        <v>54</v>
      </c>
    </row>
    <row r="689" spans="1:17" x14ac:dyDescent="0.35">
      <c r="A689">
        <v>700</v>
      </c>
      <c r="B689">
        <v>19</v>
      </c>
      <c r="C689">
        <v>10</v>
      </c>
      <c r="D689">
        <v>4</v>
      </c>
      <c r="E689" s="1">
        <v>46251.645833333343</v>
      </c>
      <c r="F689">
        <v>3</v>
      </c>
      <c r="G689">
        <v>24</v>
      </c>
      <c r="H689" t="s">
        <v>22</v>
      </c>
      <c r="I689" t="s">
        <v>27</v>
      </c>
      <c r="J689">
        <v>8</v>
      </c>
      <c r="K689">
        <v>2026</v>
      </c>
      <c r="L689">
        <v>8</v>
      </c>
      <c r="M689">
        <v>15</v>
      </c>
      <c r="N689" t="s">
        <v>33</v>
      </c>
      <c r="O689" t="s">
        <v>13</v>
      </c>
      <c r="P689" t="s">
        <v>25</v>
      </c>
      <c r="Q689" t="s">
        <v>26</v>
      </c>
    </row>
    <row r="690" spans="1:17" x14ac:dyDescent="0.35">
      <c r="A690">
        <v>701</v>
      </c>
      <c r="B690">
        <v>12</v>
      </c>
      <c r="C690">
        <v>18</v>
      </c>
      <c r="D690">
        <v>3</v>
      </c>
      <c r="E690" s="1">
        <v>46235.6875</v>
      </c>
      <c r="F690">
        <v>3</v>
      </c>
      <c r="G690">
        <v>27</v>
      </c>
      <c r="H690" t="s">
        <v>22</v>
      </c>
      <c r="I690" t="s">
        <v>31</v>
      </c>
      <c r="J690">
        <v>9</v>
      </c>
      <c r="K690">
        <v>2026</v>
      </c>
      <c r="L690">
        <v>8</v>
      </c>
      <c r="M690">
        <v>16</v>
      </c>
      <c r="N690" t="s">
        <v>23</v>
      </c>
      <c r="O690" t="s">
        <v>24</v>
      </c>
      <c r="P690" t="s">
        <v>47</v>
      </c>
      <c r="Q690" t="s">
        <v>45</v>
      </c>
    </row>
    <row r="691" spans="1:17" x14ac:dyDescent="0.35">
      <c r="A691">
        <v>702</v>
      </c>
      <c r="B691">
        <v>9</v>
      </c>
      <c r="C691">
        <v>4</v>
      </c>
      <c r="D691">
        <v>7</v>
      </c>
      <c r="E691" s="1">
        <v>46351.854166666657</v>
      </c>
      <c r="F691">
        <v>4</v>
      </c>
      <c r="G691">
        <v>32</v>
      </c>
      <c r="H691" t="s">
        <v>22</v>
      </c>
      <c r="I691" t="s">
        <v>18</v>
      </c>
      <c r="J691">
        <v>8</v>
      </c>
      <c r="K691">
        <v>2026</v>
      </c>
      <c r="L691">
        <v>11</v>
      </c>
      <c r="M691">
        <v>20</v>
      </c>
      <c r="N691" t="s">
        <v>19</v>
      </c>
      <c r="O691" t="s">
        <v>13</v>
      </c>
      <c r="P691" t="s">
        <v>55</v>
      </c>
      <c r="Q691" t="s">
        <v>35</v>
      </c>
    </row>
    <row r="692" spans="1:17" x14ac:dyDescent="0.35">
      <c r="A692">
        <v>703</v>
      </c>
      <c r="B692">
        <v>2</v>
      </c>
      <c r="C692">
        <v>7</v>
      </c>
      <c r="D692">
        <v>3</v>
      </c>
      <c r="E692" s="1">
        <v>46303.708333333343</v>
      </c>
      <c r="F692">
        <v>3</v>
      </c>
      <c r="G692">
        <v>24</v>
      </c>
      <c r="H692" t="s">
        <v>22</v>
      </c>
      <c r="I692" t="s">
        <v>31</v>
      </c>
      <c r="J692">
        <v>8</v>
      </c>
      <c r="K692">
        <v>2026</v>
      </c>
      <c r="L692">
        <v>10</v>
      </c>
      <c r="M692">
        <v>17</v>
      </c>
      <c r="N692" t="s">
        <v>41</v>
      </c>
      <c r="O692" t="s">
        <v>13</v>
      </c>
      <c r="P692" t="s">
        <v>34</v>
      </c>
      <c r="Q692" t="s">
        <v>45</v>
      </c>
    </row>
    <row r="693" spans="1:17" x14ac:dyDescent="0.35">
      <c r="A693">
        <v>704</v>
      </c>
      <c r="B693">
        <v>4</v>
      </c>
      <c r="C693">
        <v>5</v>
      </c>
      <c r="D693">
        <v>7</v>
      </c>
      <c r="E693" s="1">
        <v>46105.833333333343</v>
      </c>
      <c r="F693">
        <v>1</v>
      </c>
      <c r="G693">
        <v>8</v>
      </c>
      <c r="H693" t="s">
        <v>22</v>
      </c>
      <c r="I693" t="s">
        <v>31</v>
      </c>
      <c r="J693">
        <v>8</v>
      </c>
      <c r="K693">
        <v>2026</v>
      </c>
      <c r="L693">
        <v>3</v>
      </c>
      <c r="M693">
        <v>20</v>
      </c>
      <c r="N693" t="s">
        <v>37</v>
      </c>
      <c r="O693" t="s">
        <v>13</v>
      </c>
      <c r="P693" t="s">
        <v>53</v>
      </c>
      <c r="Q693" t="s">
        <v>35</v>
      </c>
    </row>
    <row r="694" spans="1:17" x14ac:dyDescent="0.35">
      <c r="A694">
        <v>705</v>
      </c>
      <c r="B694">
        <v>11</v>
      </c>
      <c r="C694">
        <v>16</v>
      </c>
      <c r="D694">
        <v>3</v>
      </c>
      <c r="E694" s="1">
        <v>46321.666666666657</v>
      </c>
      <c r="F694">
        <v>6</v>
      </c>
      <c r="G694">
        <v>48</v>
      </c>
      <c r="H694" t="s">
        <v>22</v>
      </c>
      <c r="I694" t="s">
        <v>18</v>
      </c>
      <c r="J694">
        <v>8</v>
      </c>
      <c r="K694">
        <v>2026</v>
      </c>
      <c r="L694">
        <v>10</v>
      </c>
      <c r="M694">
        <v>16</v>
      </c>
      <c r="N694" t="s">
        <v>33</v>
      </c>
      <c r="O694" t="s">
        <v>13</v>
      </c>
      <c r="P694" t="s">
        <v>51</v>
      </c>
      <c r="Q694" t="s">
        <v>45</v>
      </c>
    </row>
    <row r="695" spans="1:17" x14ac:dyDescent="0.35">
      <c r="A695">
        <v>706</v>
      </c>
      <c r="B695">
        <v>9</v>
      </c>
      <c r="C695">
        <v>7</v>
      </c>
      <c r="D695">
        <v>3</v>
      </c>
      <c r="E695" s="1">
        <v>46120.729166666657</v>
      </c>
      <c r="F695">
        <v>2</v>
      </c>
      <c r="G695">
        <v>16</v>
      </c>
      <c r="H695" t="s">
        <v>22</v>
      </c>
      <c r="I695" t="s">
        <v>31</v>
      </c>
      <c r="J695">
        <v>8</v>
      </c>
      <c r="K695">
        <v>2026</v>
      </c>
      <c r="L695">
        <v>4</v>
      </c>
      <c r="M695">
        <v>17</v>
      </c>
      <c r="N695" t="s">
        <v>19</v>
      </c>
      <c r="O695" t="s">
        <v>13</v>
      </c>
      <c r="P695" t="s">
        <v>34</v>
      </c>
      <c r="Q695" t="s">
        <v>45</v>
      </c>
    </row>
    <row r="696" spans="1:17" x14ac:dyDescent="0.35">
      <c r="A696">
        <v>707</v>
      </c>
      <c r="B696">
        <v>3</v>
      </c>
      <c r="C696">
        <v>19</v>
      </c>
      <c r="D696">
        <v>8</v>
      </c>
      <c r="E696" s="1">
        <v>46352.645833333343</v>
      </c>
      <c r="F696">
        <v>2</v>
      </c>
      <c r="G696">
        <v>16</v>
      </c>
      <c r="H696" t="s">
        <v>22</v>
      </c>
      <c r="I696" t="s">
        <v>27</v>
      </c>
      <c r="J696">
        <v>8</v>
      </c>
      <c r="K696">
        <v>2026</v>
      </c>
      <c r="L696">
        <v>11</v>
      </c>
      <c r="M696">
        <v>15</v>
      </c>
      <c r="N696" t="s">
        <v>41</v>
      </c>
      <c r="O696" t="s">
        <v>13</v>
      </c>
      <c r="P696" t="s">
        <v>58</v>
      </c>
      <c r="Q696" t="s">
        <v>46</v>
      </c>
    </row>
    <row r="697" spans="1:17" x14ac:dyDescent="0.35">
      <c r="A697">
        <v>708</v>
      </c>
      <c r="B697">
        <v>20</v>
      </c>
      <c r="C697">
        <v>17</v>
      </c>
      <c r="D697">
        <v>8</v>
      </c>
      <c r="E697" s="1">
        <v>46105.875</v>
      </c>
      <c r="F697">
        <v>4</v>
      </c>
      <c r="G697">
        <v>36</v>
      </c>
      <c r="H697" t="s">
        <v>22</v>
      </c>
      <c r="I697" t="s">
        <v>18</v>
      </c>
      <c r="J697">
        <v>9</v>
      </c>
      <c r="K697">
        <v>2026</v>
      </c>
      <c r="L697">
        <v>3</v>
      </c>
      <c r="M697">
        <v>21</v>
      </c>
      <c r="N697" t="s">
        <v>37</v>
      </c>
      <c r="O697" t="s">
        <v>13</v>
      </c>
      <c r="P697" t="s">
        <v>56</v>
      </c>
      <c r="Q697" t="s">
        <v>46</v>
      </c>
    </row>
    <row r="698" spans="1:17" x14ac:dyDescent="0.35">
      <c r="A698">
        <v>709</v>
      </c>
      <c r="B698">
        <v>6</v>
      </c>
      <c r="C698">
        <v>14</v>
      </c>
      <c r="D698">
        <v>7</v>
      </c>
      <c r="E698" s="1">
        <v>46353.770833333343</v>
      </c>
      <c r="F698">
        <v>3</v>
      </c>
      <c r="G698">
        <v>24</v>
      </c>
      <c r="H698" t="s">
        <v>22</v>
      </c>
      <c r="I698" t="s">
        <v>18</v>
      </c>
      <c r="J698">
        <v>8</v>
      </c>
      <c r="K698">
        <v>2026</v>
      </c>
      <c r="L698">
        <v>11</v>
      </c>
      <c r="M698">
        <v>18</v>
      </c>
      <c r="N698" t="s">
        <v>43</v>
      </c>
      <c r="O698" t="s">
        <v>13</v>
      </c>
      <c r="P698" t="s">
        <v>29</v>
      </c>
      <c r="Q698" t="s">
        <v>35</v>
      </c>
    </row>
    <row r="699" spans="1:17" x14ac:dyDescent="0.35">
      <c r="A699">
        <v>710</v>
      </c>
      <c r="B699">
        <v>20</v>
      </c>
      <c r="C699">
        <v>16</v>
      </c>
      <c r="D699">
        <v>2</v>
      </c>
      <c r="E699" s="1">
        <v>46363.6875</v>
      </c>
      <c r="F699">
        <v>3</v>
      </c>
      <c r="G699">
        <v>24</v>
      </c>
      <c r="H699" t="s">
        <v>22</v>
      </c>
      <c r="I699" t="s">
        <v>27</v>
      </c>
      <c r="J699">
        <v>8</v>
      </c>
      <c r="K699">
        <v>2026</v>
      </c>
      <c r="L699">
        <v>12</v>
      </c>
      <c r="M699">
        <v>16</v>
      </c>
      <c r="N699" t="s">
        <v>33</v>
      </c>
      <c r="O699" t="s">
        <v>13</v>
      </c>
      <c r="P699" t="s">
        <v>51</v>
      </c>
      <c r="Q699" t="s">
        <v>54</v>
      </c>
    </row>
    <row r="700" spans="1:17" x14ac:dyDescent="0.35">
      <c r="A700">
        <v>711</v>
      </c>
      <c r="B700">
        <v>11</v>
      </c>
      <c r="C700">
        <v>3</v>
      </c>
      <c r="D700">
        <v>7</v>
      </c>
      <c r="E700" s="1">
        <v>46215.8125</v>
      </c>
      <c r="F700">
        <v>2</v>
      </c>
      <c r="G700">
        <v>18</v>
      </c>
      <c r="H700" t="s">
        <v>22</v>
      </c>
      <c r="I700" t="s">
        <v>31</v>
      </c>
      <c r="J700">
        <v>9</v>
      </c>
      <c r="K700">
        <v>2026</v>
      </c>
      <c r="L700">
        <v>7</v>
      </c>
      <c r="M700">
        <v>19</v>
      </c>
      <c r="N700" t="s">
        <v>28</v>
      </c>
      <c r="O700" t="s">
        <v>24</v>
      </c>
      <c r="P700" t="s">
        <v>20</v>
      </c>
      <c r="Q700" t="s">
        <v>35</v>
      </c>
    </row>
    <row r="701" spans="1:17" x14ac:dyDescent="0.35">
      <c r="A701">
        <v>712</v>
      </c>
      <c r="B701">
        <v>4</v>
      </c>
      <c r="C701">
        <v>12</v>
      </c>
      <c r="D701">
        <v>1</v>
      </c>
      <c r="E701" s="1">
        <v>46113.958333333343</v>
      </c>
      <c r="F701">
        <v>2</v>
      </c>
      <c r="G701">
        <v>18</v>
      </c>
      <c r="H701" t="s">
        <v>22</v>
      </c>
      <c r="I701" t="s">
        <v>18</v>
      </c>
      <c r="J701">
        <v>9</v>
      </c>
      <c r="K701">
        <v>2026</v>
      </c>
      <c r="L701">
        <v>4</v>
      </c>
      <c r="M701">
        <v>23</v>
      </c>
      <c r="N701" t="s">
        <v>19</v>
      </c>
      <c r="O701" t="s">
        <v>13</v>
      </c>
      <c r="P701" t="s">
        <v>57</v>
      </c>
      <c r="Q701" t="s">
        <v>40</v>
      </c>
    </row>
    <row r="702" spans="1:17" x14ac:dyDescent="0.35">
      <c r="A702">
        <v>713</v>
      </c>
      <c r="B702">
        <v>8</v>
      </c>
      <c r="C702">
        <v>10</v>
      </c>
      <c r="D702">
        <v>5</v>
      </c>
      <c r="E702" s="1">
        <v>46168.958333333343</v>
      </c>
      <c r="F702">
        <v>1</v>
      </c>
      <c r="G702">
        <v>9</v>
      </c>
      <c r="H702" t="s">
        <v>22</v>
      </c>
      <c r="I702" t="s">
        <v>31</v>
      </c>
      <c r="J702">
        <v>9</v>
      </c>
      <c r="K702">
        <v>2026</v>
      </c>
      <c r="L702">
        <v>5</v>
      </c>
      <c r="M702">
        <v>23</v>
      </c>
      <c r="N702" t="s">
        <v>37</v>
      </c>
      <c r="O702" t="s">
        <v>13</v>
      </c>
      <c r="P702" t="s">
        <v>25</v>
      </c>
      <c r="Q702" t="s">
        <v>50</v>
      </c>
    </row>
    <row r="703" spans="1:17" x14ac:dyDescent="0.35">
      <c r="A703">
        <v>714</v>
      </c>
      <c r="B703">
        <v>17</v>
      </c>
      <c r="C703">
        <v>5</v>
      </c>
      <c r="D703">
        <v>5</v>
      </c>
      <c r="E703" s="1">
        <v>46153.770833333343</v>
      </c>
      <c r="F703">
        <v>3</v>
      </c>
      <c r="G703">
        <v>24</v>
      </c>
      <c r="H703" t="s">
        <v>22</v>
      </c>
      <c r="I703" t="s">
        <v>31</v>
      </c>
      <c r="J703">
        <v>8</v>
      </c>
      <c r="K703">
        <v>2026</v>
      </c>
      <c r="L703">
        <v>5</v>
      </c>
      <c r="M703">
        <v>18</v>
      </c>
      <c r="N703" t="s">
        <v>33</v>
      </c>
      <c r="O703" t="s">
        <v>13</v>
      </c>
      <c r="P703" t="s">
        <v>53</v>
      </c>
      <c r="Q703" t="s">
        <v>50</v>
      </c>
    </row>
    <row r="704" spans="1:17" x14ac:dyDescent="0.35">
      <c r="A704">
        <v>715</v>
      </c>
      <c r="B704">
        <v>20</v>
      </c>
      <c r="C704">
        <v>19</v>
      </c>
      <c r="D704">
        <v>8</v>
      </c>
      <c r="E704" s="1">
        <v>46155.895833333343</v>
      </c>
      <c r="F704">
        <v>3</v>
      </c>
      <c r="G704">
        <v>27</v>
      </c>
      <c r="H704" t="s">
        <v>22</v>
      </c>
      <c r="I704" t="s">
        <v>27</v>
      </c>
      <c r="J704">
        <v>9</v>
      </c>
      <c r="K704">
        <v>2026</v>
      </c>
      <c r="L704">
        <v>5</v>
      </c>
      <c r="M704">
        <v>21</v>
      </c>
      <c r="N704" t="s">
        <v>19</v>
      </c>
      <c r="O704" t="s">
        <v>13</v>
      </c>
      <c r="P704" t="s">
        <v>58</v>
      </c>
      <c r="Q704" t="s">
        <v>46</v>
      </c>
    </row>
    <row r="705" spans="1:17" x14ac:dyDescent="0.35">
      <c r="A705">
        <v>716</v>
      </c>
      <c r="B705">
        <v>2</v>
      </c>
      <c r="C705">
        <v>8</v>
      </c>
      <c r="D705">
        <v>7</v>
      </c>
      <c r="E705" s="1">
        <v>46152.791666666657</v>
      </c>
      <c r="F705">
        <v>5</v>
      </c>
      <c r="G705">
        <v>45</v>
      </c>
      <c r="H705" t="s">
        <v>22</v>
      </c>
      <c r="I705" t="s">
        <v>18</v>
      </c>
      <c r="J705">
        <v>9</v>
      </c>
      <c r="K705">
        <v>2026</v>
      </c>
      <c r="L705">
        <v>5</v>
      </c>
      <c r="M705">
        <v>19</v>
      </c>
      <c r="N705" t="s">
        <v>28</v>
      </c>
      <c r="O705" t="s">
        <v>24</v>
      </c>
      <c r="P705" t="s">
        <v>42</v>
      </c>
      <c r="Q705" t="s">
        <v>35</v>
      </c>
    </row>
    <row r="706" spans="1:17" x14ac:dyDescent="0.35">
      <c r="A706">
        <v>717</v>
      </c>
      <c r="B706">
        <v>10</v>
      </c>
      <c r="C706">
        <v>7</v>
      </c>
      <c r="D706">
        <v>6</v>
      </c>
      <c r="E706" s="1">
        <v>46292.958333333343</v>
      </c>
      <c r="F706">
        <v>1</v>
      </c>
      <c r="G706">
        <v>10</v>
      </c>
      <c r="H706" t="s">
        <v>22</v>
      </c>
      <c r="I706" t="s">
        <v>18</v>
      </c>
      <c r="J706">
        <v>10</v>
      </c>
      <c r="K706">
        <v>2026</v>
      </c>
      <c r="L706">
        <v>9</v>
      </c>
      <c r="M706">
        <v>23</v>
      </c>
      <c r="N706" t="s">
        <v>28</v>
      </c>
      <c r="O706" t="s">
        <v>24</v>
      </c>
      <c r="P706" t="s">
        <v>34</v>
      </c>
      <c r="Q706" t="s">
        <v>21</v>
      </c>
    </row>
    <row r="707" spans="1:17" x14ac:dyDescent="0.35">
      <c r="A707">
        <v>718</v>
      </c>
      <c r="B707">
        <v>1</v>
      </c>
      <c r="C707">
        <v>19</v>
      </c>
      <c r="D707">
        <v>3</v>
      </c>
      <c r="E707" s="1">
        <v>46333.75</v>
      </c>
      <c r="F707">
        <v>5</v>
      </c>
      <c r="G707">
        <v>45</v>
      </c>
      <c r="H707" t="s">
        <v>22</v>
      </c>
      <c r="I707" t="s">
        <v>18</v>
      </c>
      <c r="J707">
        <v>9</v>
      </c>
      <c r="K707">
        <v>2026</v>
      </c>
      <c r="L707">
        <v>11</v>
      </c>
      <c r="M707">
        <v>18</v>
      </c>
      <c r="N707" t="s">
        <v>23</v>
      </c>
      <c r="O707" t="s">
        <v>24</v>
      </c>
      <c r="P707" t="s">
        <v>58</v>
      </c>
      <c r="Q707" t="s">
        <v>45</v>
      </c>
    </row>
    <row r="708" spans="1:17" x14ac:dyDescent="0.35">
      <c r="A708">
        <v>719</v>
      </c>
      <c r="B708">
        <v>1</v>
      </c>
      <c r="C708">
        <v>2</v>
      </c>
      <c r="D708">
        <v>7</v>
      </c>
      <c r="E708" s="1">
        <v>46033.729166666657</v>
      </c>
      <c r="F708">
        <v>6</v>
      </c>
      <c r="G708">
        <v>54</v>
      </c>
      <c r="H708" t="s">
        <v>22</v>
      </c>
      <c r="I708" t="s">
        <v>18</v>
      </c>
      <c r="J708">
        <v>9</v>
      </c>
      <c r="K708">
        <v>2026</v>
      </c>
      <c r="L708">
        <v>1</v>
      </c>
      <c r="M708">
        <v>17</v>
      </c>
      <c r="N708" t="s">
        <v>28</v>
      </c>
      <c r="O708" t="s">
        <v>24</v>
      </c>
      <c r="P708" t="s">
        <v>44</v>
      </c>
      <c r="Q708" t="s">
        <v>35</v>
      </c>
    </row>
    <row r="709" spans="1:17" x14ac:dyDescent="0.35">
      <c r="A709">
        <v>720</v>
      </c>
      <c r="B709">
        <v>2</v>
      </c>
      <c r="C709">
        <v>12</v>
      </c>
      <c r="D709">
        <v>1</v>
      </c>
      <c r="E709" s="1">
        <v>46108.791666666657</v>
      </c>
      <c r="F709">
        <v>3</v>
      </c>
      <c r="G709">
        <v>24</v>
      </c>
      <c r="H709" t="s">
        <v>22</v>
      </c>
      <c r="I709" t="s">
        <v>31</v>
      </c>
      <c r="J709">
        <v>8</v>
      </c>
      <c r="K709">
        <v>2026</v>
      </c>
      <c r="L709">
        <v>3</v>
      </c>
      <c r="M709">
        <v>19</v>
      </c>
      <c r="N709" t="s">
        <v>43</v>
      </c>
      <c r="O709" t="s">
        <v>13</v>
      </c>
      <c r="P709" t="s">
        <v>57</v>
      </c>
      <c r="Q709" t="s">
        <v>40</v>
      </c>
    </row>
    <row r="710" spans="1:17" x14ac:dyDescent="0.35">
      <c r="A710">
        <v>721</v>
      </c>
      <c r="B710">
        <v>11</v>
      </c>
      <c r="C710">
        <v>4</v>
      </c>
      <c r="D710">
        <v>6</v>
      </c>
      <c r="E710" s="1">
        <v>46169.708333333343</v>
      </c>
      <c r="F710">
        <v>1</v>
      </c>
      <c r="G710">
        <v>8</v>
      </c>
      <c r="H710" t="s">
        <v>17</v>
      </c>
      <c r="I710" t="s">
        <v>18</v>
      </c>
      <c r="J710">
        <v>8</v>
      </c>
      <c r="K710">
        <v>2026</v>
      </c>
      <c r="L710">
        <v>5</v>
      </c>
      <c r="M710">
        <v>17</v>
      </c>
      <c r="N710" t="s">
        <v>19</v>
      </c>
      <c r="O710" t="s">
        <v>13</v>
      </c>
      <c r="P710" t="s">
        <v>55</v>
      </c>
      <c r="Q710" t="s">
        <v>21</v>
      </c>
    </row>
    <row r="711" spans="1:17" x14ac:dyDescent="0.35">
      <c r="A711">
        <v>722</v>
      </c>
      <c r="B711">
        <v>14</v>
      </c>
      <c r="C711">
        <v>16</v>
      </c>
      <c r="D711">
        <v>7</v>
      </c>
      <c r="E711" s="1">
        <v>46270.895833333343</v>
      </c>
      <c r="F711">
        <v>1</v>
      </c>
      <c r="G711">
        <v>10</v>
      </c>
      <c r="H711" t="s">
        <v>22</v>
      </c>
      <c r="I711" t="s">
        <v>31</v>
      </c>
      <c r="J711">
        <v>10</v>
      </c>
      <c r="K711">
        <v>2026</v>
      </c>
      <c r="L711">
        <v>9</v>
      </c>
      <c r="M711">
        <v>21</v>
      </c>
      <c r="N711" t="s">
        <v>23</v>
      </c>
      <c r="O711" t="s">
        <v>24</v>
      </c>
      <c r="P711" t="s">
        <v>51</v>
      </c>
      <c r="Q711" t="s">
        <v>35</v>
      </c>
    </row>
    <row r="712" spans="1:17" x14ac:dyDescent="0.35">
      <c r="A712">
        <v>723</v>
      </c>
      <c r="B712">
        <v>7</v>
      </c>
      <c r="C712">
        <v>3</v>
      </c>
      <c r="D712">
        <v>4</v>
      </c>
      <c r="E712" s="1">
        <v>46364.854166666657</v>
      </c>
      <c r="F712">
        <v>3</v>
      </c>
      <c r="G712">
        <v>24</v>
      </c>
      <c r="H712" t="s">
        <v>22</v>
      </c>
      <c r="I712" t="s">
        <v>18</v>
      </c>
      <c r="J712">
        <v>8</v>
      </c>
      <c r="K712">
        <v>2026</v>
      </c>
      <c r="L712">
        <v>12</v>
      </c>
      <c r="M712">
        <v>20</v>
      </c>
      <c r="N712" t="s">
        <v>37</v>
      </c>
      <c r="O712" t="s">
        <v>13</v>
      </c>
      <c r="P712" t="s">
        <v>20</v>
      </c>
      <c r="Q712" t="s">
        <v>26</v>
      </c>
    </row>
    <row r="713" spans="1:17" x14ac:dyDescent="0.35">
      <c r="A713">
        <v>724</v>
      </c>
      <c r="B713">
        <v>19</v>
      </c>
      <c r="C713">
        <v>20</v>
      </c>
      <c r="D713">
        <v>3</v>
      </c>
      <c r="E713" s="1">
        <v>46314.9375</v>
      </c>
      <c r="F713">
        <v>4</v>
      </c>
      <c r="G713">
        <v>36</v>
      </c>
      <c r="H713" t="s">
        <v>17</v>
      </c>
      <c r="I713" t="s">
        <v>18</v>
      </c>
      <c r="J713">
        <v>9</v>
      </c>
      <c r="K713">
        <v>2026</v>
      </c>
      <c r="L713">
        <v>10</v>
      </c>
      <c r="M713">
        <v>22</v>
      </c>
      <c r="N713" t="s">
        <v>33</v>
      </c>
      <c r="O713" t="s">
        <v>13</v>
      </c>
      <c r="P713" t="s">
        <v>36</v>
      </c>
      <c r="Q713" t="s">
        <v>45</v>
      </c>
    </row>
    <row r="714" spans="1:17" x14ac:dyDescent="0.35">
      <c r="A714">
        <v>725</v>
      </c>
      <c r="B714">
        <v>12</v>
      </c>
      <c r="C714">
        <v>15</v>
      </c>
      <c r="D714">
        <v>1</v>
      </c>
      <c r="E714" s="1">
        <v>46338.9375</v>
      </c>
      <c r="F714">
        <v>4</v>
      </c>
      <c r="G714">
        <v>36</v>
      </c>
      <c r="H714" t="s">
        <v>22</v>
      </c>
      <c r="I714" t="s">
        <v>18</v>
      </c>
      <c r="J714">
        <v>9</v>
      </c>
      <c r="K714">
        <v>2026</v>
      </c>
      <c r="L714">
        <v>11</v>
      </c>
      <c r="M714">
        <v>22</v>
      </c>
      <c r="N714" t="s">
        <v>41</v>
      </c>
      <c r="O714" t="s">
        <v>13</v>
      </c>
      <c r="P714" t="s">
        <v>38</v>
      </c>
      <c r="Q714" t="s">
        <v>40</v>
      </c>
    </row>
    <row r="715" spans="1:17" x14ac:dyDescent="0.35">
      <c r="A715">
        <v>726</v>
      </c>
      <c r="B715">
        <v>5</v>
      </c>
      <c r="C715">
        <v>4</v>
      </c>
      <c r="D715">
        <v>9</v>
      </c>
      <c r="E715" s="1">
        <v>46276.854166666657</v>
      </c>
      <c r="F715">
        <v>5</v>
      </c>
      <c r="G715">
        <v>40</v>
      </c>
      <c r="H715" t="s">
        <v>22</v>
      </c>
      <c r="I715" t="s">
        <v>27</v>
      </c>
      <c r="J715">
        <v>8</v>
      </c>
      <c r="K715">
        <v>2026</v>
      </c>
      <c r="L715">
        <v>9</v>
      </c>
      <c r="M715">
        <v>20</v>
      </c>
      <c r="N715" t="s">
        <v>43</v>
      </c>
      <c r="O715" t="s">
        <v>13</v>
      </c>
      <c r="P715" t="s">
        <v>55</v>
      </c>
      <c r="Q715" t="s">
        <v>30</v>
      </c>
    </row>
    <row r="716" spans="1:17" x14ac:dyDescent="0.35">
      <c r="A716">
        <v>727</v>
      </c>
      <c r="B716">
        <v>14</v>
      </c>
      <c r="C716">
        <v>6</v>
      </c>
      <c r="D716">
        <v>6</v>
      </c>
      <c r="E716" s="1">
        <v>46260.791666666657</v>
      </c>
      <c r="F716">
        <v>4</v>
      </c>
      <c r="G716">
        <v>32</v>
      </c>
      <c r="H716" t="s">
        <v>22</v>
      </c>
      <c r="I716" t="s">
        <v>18</v>
      </c>
      <c r="J716">
        <v>8</v>
      </c>
      <c r="K716">
        <v>2026</v>
      </c>
      <c r="L716">
        <v>8</v>
      </c>
      <c r="M716">
        <v>19</v>
      </c>
      <c r="N716" t="s">
        <v>19</v>
      </c>
      <c r="O716" t="s">
        <v>13</v>
      </c>
      <c r="P716" t="s">
        <v>52</v>
      </c>
      <c r="Q716" t="s">
        <v>21</v>
      </c>
    </row>
    <row r="717" spans="1:17" x14ac:dyDescent="0.35">
      <c r="A717">
        <v>728</v>
      </c>
      <c r="B717">
        <v>5</v>
      </c>
      <c r="C717">
        <v>6</v>
      </c>
      <c r="D717">
        <v>2</v>
      </c>
      <c r="E717" s="1">
        <v>46191.770833333343</v>
      </c>
      <c r="F717">
        <v>1</v>
      </c>
      <c r="G717">
        <v>8</v>
      </c>
      <c r="H717" t="s">
        <v>22</v>
      </c>
      <c r="I717" t="s">
        <v>31</v>
      </c>
      <c r="J717">
        <v>8</v>
      </c>
      <c r="K717">
        <v>2026</v>
      </c>
      <c r="L717">
        <v>6</v>
      </c>
      <c r="M717">
        <v>18</v>
      </c>
      <c r="N717" t="s">
        <v>41</v>
      </c>
      <c r="O717" t="s">
        <v>13</v>
      </c>
      <c r="P717" t="s">
        <v>52</v>
      </c>
      <c r="Q717" t="s">
        <v>54</v>
      </c>
    </row>
    <row r="718" spans="1:17" x14ac:dyDescent="0.35">
      <c r="A718">
        <v>729</v>
      </c>
      <c r="B718">
        <v>7</v>
      </c>
      <c r="C718">
        <v>11</v>
      </c>
      <c r="D718">
        <v>6</v>
      </c>
      <c r="E718" s="1">
        <v>46352.916666666657</v>
      </c>
      <c r="F718">
        <v>3</v>
      </c>
      <c r="G718">
        <v>27</v>
      </c>
      <c r="H718" t="s">
        <v>22</v>
      </c>
      <c r="I718" t="s">
        <v>31</v>
      </c>
      <c r="J718">
        <v>9</v>
      </c>
      <c r="K718">
        <v>2026</v>
      </c>
      <c r="L718">
        <v>11</v>
      </c>
      <c r="M718">
        <v>22</v>
      </c>
      <c r="N718" t="s">
        <v>41</v>
      </c>
      <c r="O718" t="s">
        <v>13</v>
      </c>
      <c r="P718" t="s">
        <v>59</v>
      </c>
      <c r="Q718" t="s">
        <v>21</v>
      </c>
    </row>
    <row r="719" spans="1:17" x14ac:dyDescent="0.35">
      <c r="A719">
        <v>730</v>
      </c>
      <c r="B719">
        <v>16</v>
      </c>
      <c r="C719">
        <v>15</v>
      </c>
      <c r="D719">
        <v>10</v>
      </c>
      <c r="E719" s="1">
        <v>46105.604166666657</v>
      </c>
      <c r="F719">
        <v>1</v>
      </c>
      <c r="G719">
        <v>8</v>
      </c>
      <c r="H719" t="s">
        <v>22</v>
      </c>
      <c r="I719" t="s">
        <v>27</v>
      </c>
      <c r="J719">
        <v>8</v>
      </c>
      <c r="K719">
        <v>2026</v>
      </c>
      <c r="L719">
        <v>3</v>
      </c>
      <c r="M719">
        <v>14</v>
      </c>
      <c r="N719" t="s">
        <v>37</v>
      </c>
      <c r="O719" t="s">
        <v>13</v>
      </c>
      <c r="P719" t="s">
        <v>38</v>
      </c>
      <c r="Q719" t="s">
        <v>32</v>
      </c>
    </row>
    <row r="720" spans="1:17" x14ac:dyDescent="0.35">
      <c r="A720">
        <v>731</v>
      </c>
      <c r="B720">
        <v>6</v>
      </c>
      <c r="C720">
        <v>12</v>
      </c>
      <c r="D720">
        <v>3</v>
      </c>
      <c r="E720" s="1">
        <v>46094.854166666657</v>
      </c>
      <c r="F720">
        <v>2</v>
      </c>
      <c r="G720">
        <v>16</v>
      </c>
      <c r="H720" t="s">
        <v>22</v>
      </c>
      <c r="I720" t="s">
        <v>18</v>
      </c>
      <c r="J720">
        <v>8</v>
      </c>
      <c r="K720">
        <v>2026</v>
      </c>
      <c r="L720">
        <v>3</v>
      </c>
      <c r="M720">
        <v>20</v>
      </c>
      <c r="N720" t="s">
        <v>43</v>
      </c>
      <c r="O720" t="s">
        <v>13</v>
      </c>
      <c r="P720" t="s">
        <v>57</v>
      </c>
      <c r="Q720" t="s">
        <v>45</v>
      </c>
    </row>
    <row r="721" spans="1:17" x14ac:dyDescent="0.35">
      <c r="A721">
        <v>732</v>
      </c>
      <c r="B721">
        <v>13</v>
      </c>
      <c r="C721">
        <v>20</v>
      </c>
      <c r="D721">
        <v>5</v>
      </c>
      <c r="E721" s="1">
        <v>46342.854166666657</v>
      </c>
      <c r="F721">
        <v>6</v>
      </c>
      <c r="G721">
        <v>48</v>
      </c>
      <c r="H721" t="s">
        <v>22</v>
      </c>
      <c r="I721" t="s">
        <v>27</v>
      </c>
      <c r="J721">
        <v>8</v>
      </c>
      <c r="K721">
        <v>2026</v>
      </c>
      <c r="L721">
        <v>11</v>
      </c>
      <c r="M721">
        <v>20</v>
      </c>
      <c r="N721" t="s">
        <v>33</v>
      </c>
      <c r="O721" t="s">
        <v>13</v>
      </c>
      <c r="P721" t="s">
        <v>36</v>
      </c>
      <c r="Q721" t="s">
        <v>50</v>
      </c>
    </row>
    <row r="722" spans="1:17" x14ac:dyDescent="0.35">
      <c r="A722">
        <v>733</v>
      </c>
      <c r="B722">
        <v>20</v>
      </c>
      <c r="C722">
        <v>9</v>
      </c>
      <c r="D722">
        <v>9</v>
      </c>
      <c r="E722" s="1">
        <v>46225.729166666657</v>
      </c>
      <c r="F722">
        <v>1</v>
      </c>
      <c r="G722">
        <v>8</v>
      </c>
      <c r="H722" t="s">
        <v>22</v>
      </c>
      <c r="I722" t="s">
        <v>31</v>
      </c>
      <c r="J722">
        <v>8</v>
      </c>
      <c r="K722">
        <v>2026</v>
      </c>
      <c r="L722">
        <v>7</v>
      </c>
      <c r="M722">
        <v>17</v>
      </c>
      <c r="N722" t="s">
        <v>19</v>
      </c>
      <c r="O722" t="s">
        <v>13</v>
      </c>
      <c r="P722" t="s">
        <v>48</v>
      </c>
      <c r="Q722" t="s">
        <v>30</v>
      </c>
    </row>
    <row r="723" spans="1:17" x14ac:dyDescent="0.35">
      <c r="A723">
        <v>734</v>
      </c>
      <c r="B723">
        <v>8</v>
      </c>
      <c r="C723">
        <v>2</v>
      </c>
      <c r="D723">
        <v>9</v>
      </c>
      <c r="E723" s="1">
        <v>46077.645833333343</v>
      </c>
      <c r="F723">
        <v>4</v>
      </c>
      <c r="G723">
        <v>32</v>
      </c>
      <c r="H723" t="s">
        <v>22</v>
      </c>
      <c r="I723" t="s">
        <v>31</v>
      </c>
      <c r="J723">
        <v>8</v>
      </c>
      <c r="K723">
        <v>2026</v>
      </c>
      <c r="L723">
        <v>2</v>
      </c>
      <c r="M723">
        <v>15</v>
      </c>
      <c r="N723" t="s">
        <v>37</v>
      </c>
      <c r="O723" t="s">
        <v>13</v>
      </c>
      <c r="P723" t="s">
        <v>44</v>
      </c>
      <c r="Q723" t="s">
        <v>30</v>
      </c>
    </row>
    <row r="724" spans="1:17" x14ac:dyDescent="0.35">
      <c r="A724">
        <v>735</v>
      </c>
      <c r="B724">
        <v>10</v>
      </c>
      <c r="C724">
        <v>16</v>
      </c>
      <c r="D724">
        <v>4</v>
      </c>
      <c r="E724" s="1">
        <v>46119.791666666657</v>
      </c>
      <c r="F724">
        <v>6</v>
      </c>
      <c r="G724">
        <v>48</v>
      </c>
      <c r="H724" t="s">
        <v>22</v>
      </c>
      <c r="I724" t="s">
        <v>18</v>
      </c>
      <c r="J724">
        <v>8</v>
      </c>
      <c r="K724">
        <v>2026</v>
      </c>
      <c r="L724">
        <v>4</v>
      </c>
      <c r="M724">
        <v>19</v>
      </c>
      <c r="N724" t="s">
        <v>37</v>
      </c>
      <c r="O724" t="s">
        <v>13</v>
      </c>
      <c r="P724" t="s">
        <v>51</v>
      </c>
      <c r="Q724" t="s">
        <v>26</v>
      </c>
    </row>
    <row r="725" spans="1:17" x14ac:dyDescent="0.35">
      <c r="A725">
        <v>736</v>
      </c>
      <c r="B725">
        <v>13</v>
      </c>
      <c r="C725">
        <v>20</v>
      </c>
      <c r="D725">
        <v>7</v>
      </c>
      <c r="E725" s="1">
        <v>46170.645833333343</v>
      </c>
      <c r="F725">
        <v>5</v>
      </c>
      <c r="G725">
        <v>40</v>
      </c>
      <c r="H725" t="s">
        <v>22</v>
      </c>
      <c r="I725" t="s">
        <v>31</v>
      </c>
      <c r="J725">
        <v>8</v>
      </c>
      <c r="K725">
        <v>2026</v>
      </c>
      <c r="L725">
        <v>5</v>
      </c>
      <c r="M725">
        <v>15</v>
      </c>
      <c r="N725" t="s">
        <v>41</v>
      </c>
      <c r="O725" t="s">
        <v>13</v>
      </c>
      <c r="P725" t="s">
        <v>36</v>
      </c>
      <c r="Q725" t="s">
        <v>35</v>
      </c>
    </row>
    <row r="726" spans="1:17" x14ac:dyDescent="0.35">
      <c r="A726">
        <v>737</v>
      </c>
      <c r="B726">
        <v>13</v>
      </c>
      <c r="C726">
        <v>16</v>
      </c>
      <c r="D726">
        <v>2</v>
      </c>
      <c r="E726" s="1">
        <v>46102.6875</v>
      </c>
      <c r="F726">
        <v>6</v>
      </c>
      <c r="G726">
        <v>54</v>
      </c>
      <c r="H726" t="s">
        <v>22</v>
      </c>
      <c r="I726" t="s">
        <v>27</v>
      </c>
      <c r="J726">
        <v>9</v>
      </c>
      <c r="K726">
        <v>2026</v>
      </c>
      <c r="L726">
        <v>3</v>
      </c>
      <c r="M726">
        <v>16</v>
      </c>
      <c r="N726" t="s">
        <v>23</v>
      </c>
      <c r="O726" t="s">
        <v>24</v>
      </c>
      <c r="P726" t="s">
        <v>51</v>
      </c>
      <c r="Q726" t="s">
        <v>54</v>
      </c>
    </row>
    <row r="727" spans="1:17" x14ac:dyDescent="0.35">
      <c r="A727">
        <v>738</v>
      </c>
      <c r="B727">
        <v>12</v>
      </c>
      <c r="C727">
        <v>11</v>
      </c>
      <c r="D727">
        <v>6</v>
      </c>
      <c r="E727" s="1">
        <v>46203.583333333343</v>
      </c>
      <c r="F727">
        <v>1</v>
      </c>
      <c r="G727">
        <v>8</v>
      </c>
      <c r="H727" t="s">
        <v>22</v>
      </c>
      <c r="I727" t="s">
        <v>18</v>
      </c>
      <c r="J727">
        <v>8</v>
      </c>
      <c r="K727">
        <v>2026</v>
      </c>
      <c r="L727">
        <v>6</v>
      </c>
      <c r="M727">
        <v>14</v>
      </c>
      <c r="N727" t="s">
        <v>37</v>
      </c>
      <c r="O727" t="s">
        <v>13</v>
      </c>
      <c r="P727" t="s">
        <v>59</v>
      </c>
      <c r="Q727" t="s">
        <v>21</v>
      </c>
    </row>
    <row r="728" spans="1:17" x14ac:dyDescent="0.35">
      <c r="A728">
        <v>739</v>
      </c>
      <c r="B728">
        <v>1</v>
      </c>
      <c r="C728">
        <v>11</v>
      </c>
      <c r="D728">
        <v>8</v>
      </c>
      <c r="E728" s="1">
        <v>46328.833333333343</v>
      </c>
      <c r="F728">
        <v>4</v>
      </c>
      <c r="G728">
        <v>32</v>
      </c>
      <c r="H728" t="s">
        <v>22</v>
      </c>
      <c r="I728" t="s">
        <v>18</v>
      </c>
      <c r="J728">
        <v>8</v>
      </c>
      <c r="K728">
        <v>2026</v>
      </c>
      <c r="L728">
        <v>11</v>
      </c>
      <c r="M728">
        <v>20</v>
      </c>
      <c r="N728" t="s">
        <v>33</v>
      </c>
      <c r="O728" t="s">
        <v>13</v>
      </c>
      <c r="P728" t="s">
        <v>59</v>
      </c>
      <c r="Q728" t="s">
        <v>46</v>
      </c>
    </row>
    <row r="729" spans="1:17" x14ac:dyDescent="0.35">
      <c r="A729">
        <v>740</v>
      </c>
      <c r="B729">
        <v>19</v>
      </c>
      <c r="C729">
        <v>8</v>
      </c>
      <c r="D729">
        <v>1</v>
      </c>
      <c r="E729" s="1">
        <v>46046.708333333343</v>
      </c>
      <c r="F729">
        <v>1</v>
      </c>
      <c r="G729">
        <v>9</v>
      </c>
      <c r="H729" t="s">
        <v>22</v>
      </c>
      <c r="I729" t="s">
        <v>18</v>
      </c>
      <c r="J729">
        <v>9</v>
      </c>
      <c r="K729">
        <v>2026</v>
      </c>
      <c r="L729">
        <v>1</v>
      </c>
      <c r="M729">
        <v>17</v>
      </c>
      <c r="N729" t="s">
        <v>23</v>
      </c>
      <c r="O729" t="s">
        <v>24</v>
      </c>
      <c r="P729" t="s">
        <v>42</v>
      </c>
      <c r="Q729" t="s">
        <v>40</v>
      </c>
    </row>
    <row r="730" spans="1:17" x14ac:dyDescent="0.35">
      <c r="A730">
        <v>741</v>
      </c>
      <c r="B730">
        <v>15</v>
      </c>
      <c r="C730">
        <v>17</v>
      </c>
      <c r="D730">
        <v>9</v>
      </c>
      <c r="E730" s="1">
        <v>46331.979166666657</v>
      </c>
      <c r="F730">
        <v>1</v>
      </c>
      <c r="G730">
        <v>9</v>
      </c>
      <c r="H730" t="s">
        <v>17</v>
      </c>
      <c r="I730" t="s">
        <v>27</v>
      </c>
      <c r="J730">
        <v>9</v>
      </c>
      <c r="K730">
        <v>2026</v>
      </c>
      <c r="L730">
        <v>11</v>
      </c>
      <c r="M730">
        <v>23</v>
      </c>
      <c r="N730" t="s">
        <v>41</v>
      </c>
      <c r="O730" t="s">
        <v>13</v>
      </c>
      <c r="P730" t="s">
        <v>56</v>
      </c>
      <c r="Q730" t="s">
        <v>30</v>
      </c>
    </row>
    <row r="731" spans="1:17" x14ac:dyDescent="0.35">
      <c r="A731">
        <v>742</v>
      </c>
      <c r="B731">
        <v>2</v>
      </c>
      <c r="C731">
        <v>16</v>
      </c>
      <c r="D731">
        <v>8</v>
      </c>
      <c r="E731" s="1">
        <v>46277.75</v>
      </c>
      <c r="F731">
        <v>3</v>
      </c>
      <c r="G731">
        <v>27</v>
      </c>
      <c r="H731" t="s">
        <v>22</v>
      </c>
      <c r="I731" t="s">
        <v>27</v>
      </c>
      <c r="J731">
        <v>9</v>
      </c>
      <c r="K731">
        <v>2026</v>
      </c>
      <c r="L731">
        <v>9</v>
      </c>
      <c r="M731">
        <v>18</v>
      </c>
      <c r="N731" t="s">
        <v>23</v>
      </c>
      <c r="O731" t="s">
        <v>24</v>
      </c>
      <c r="P731" t="s">
        <v>51</v>
      </c>
      <c r="Q731" t="s">
        <v>46</v>
      </c>
    </row>
    <row r="732" spans="1:17" x14ac:dyDescent="0.35">
      <c r="A732">
        <v>743</v>
      </c>
      <c r="B732">
        <v>4</v>
      </c>
      <c r="C732">
        <v>11</v>
      </c>
      <c r="D732">
        <v>1</v>
      </c>
      <c r="E732" s="1">
        <v>46078.833333333343</v>
      </c>
      <c r="F732">
        <v>2</v>
      </c>
      <c r="G732">
        <v>16</v>
      </c>
      <c r="H732" t="s">
        <v>22</v>
      </c>
      <c r="I732" t="s">
        <v>18</v>
      </c>
      <c r="J732">
        <v>8</v>
      </c>
      <c r="K732">
        <v>2026</v>
      </c>
      <c r="L732">
        <v>2</v>
      </c>
      <c r="M732">
        <v>20</v>
      </c>
      <c r="N732" t="s">
        <v>19</v>
      </c>
      <c r="O732" t="s">
        <v>13</v>
      </c>
      <c r="P732" t="s">
        <v>59</v>
      </c>
      <c r="Q732" t="s">
        <v>40</v>
      </c>
    </row>
    <row r="733" spans="1:17" x14ac:dyDescent="0.35">
      <c r="A733">
        <v>744</v>
      </c>
      <c r="B733">
        <v>8</v>
      </c>
      <c r="C733">
        <v>5</v>
      </c>
      <c r="D733">
        <v>3</v>
      </c>
      <c r="E733" s="1">
        <v>46100.854166666657</v>
      </c>
      <c r="F733">
        <v>2</v>
      </c>
      <c r="G733">
        <v>16</v>
      </c>
      <c r="H733" t="s">
        <v>22</v>
      </c>
      <c r="I733" t="s">
        <v>31</v>
      </c>
      <c r="J733">
        <v>8</v>
      </c>
      <c r="K733">
        <v>2026</v>
      </c>
      <c r="L733">
        <v>3</v>
      </c>
      <c r="M733">
        <v>20</v>
      </c>
      <c r="N733" t="s">
        <v>41</v>
      </c>
      <c r="O733" t="s">
        <v>13</v>
      </c>
      <c r="P733" t="s">
        <v>53</v>
      </c>
      <c r="Q733" t="s">
        <v>45</v>
      </c>
    </row>
    <row r="734" spans="1:17" x14ac:dyDescent="0.35">
      <c r="A734">
        <v>745</v>
      </c>
      <c r="B734">
        <v>13</v>
      </c>
      <c r="C734">
        <v>19</v>
      </c>
      <c r="D734">
        <v>3</v>
      </c>
      <c r="E734" s="1">
        <v>46326.604166666657</v>
      </c>
      <c r="F734">
        <v>4</v>
      </c>
      <c r="G734">
        <v>36</v>
      </c>
      <c r="H734" t="s">
        <v>22</v>
      </c>
      <c r="I734" t="s">
        <v>18</v>
      </c>
      <c r="J734">
        <v>9</v>
      </c>
      <c r="K734">
        <v>2026</v>
      </c>
      <c r="L734">
        <v>10</v>
      </c>
      <c r="M734">
        <v>14</v>
      </c>
      <c r="N734" t="s">
        <v>23</v>
      </c>
      <c r="O734" t="s">
        <v>24</v>
      </c>
      <c r="P734" t="s">
        <v>58</v>
      </c>
      <c r="Q734" t="s">
        <v>45</v>
      </c>
    </row>
    <row r="735" spans="1:17" x14ac:dyDescent="0.35">
      <c r="A735">
        <v>746</v>
      </c>
      <c r="B735">
        <v>6</v>
      </c>
      <c r="C735">
        <v>17</v>
      </c>
      <c r="D735">
        <v>2</v>
      </c>
      <c r="E735" s="1">
        <v>46099.770833333343</v>
      </c>
      <c r="F735">
        <v>2</v>
      </c>
      <c r="G735">
        <v>16</v>
      </c>
      <c r="H735" t="s">
        <v>17</v>
      </c>
      <c r="I735" t="s">
        <v>27</v>
      </c>
      <c r="J735">
        <v>8</v>
      </c>
      <c r="K735">
        <v>2026</v>
      </c>
      <c r="L735">
        <v>3</v>
      </c>
      <c r="M735">
        <v>18</v>
      </c>
      <c r="N735" t="s">
        <v>19</v>
      </c>
      <c r="O735" t="s">
        <v>13</v>
      </c>
      <c r="P735" t="s">
        <v>56</v>
      </c>
      <c r="Q735" t="s">
        <v>54</v>
      </c>
    </row>
    <row r="736" spans="1:17" x14ac:dyDescent="0.35">
      <c r="A736">
        <v>747</v>
      </c>
      <c r="B736">
        <v>14</v>
      </c>
      <c r="C736">
        <v>13</v>
      </c>
      <c r="D736">
        <v>3</v>
      </c>
      <c r="E736" s="1">
        <v>46227.854166666657</v>
      </c>
      <c r="F736">
        <v>2</v>
      </c>
      <c r="G736">
        <v>16</v>
      </c>
      <c r="H736" t="s">
        <v>22</v>
      </c>
      <c r="I736" t="s">
        <v>31</v>
      </c>
      <c r="J736">
        <v>8</v>
      </c>
      <c r="K736">
        <v>2026</v>
      </c>
      <c r="L736">
        <v>7</v>
      </c>
      <c r="M736">
        <v>20</v>
      </c>
      <c r="N736" t="s">
        <v>43</v>
      </c>
      <c r="O736" t="s">
        <v>13</v>
      </c>
      <c r="P736" t="s">
        <v>49</v>
      </c>
      <c r="Q736" t="s">
        <v>45</v>
      </c>
    </row>
    <row r="737" spans="1:17" x14ac:dyDescent="0.35">
      <c r="A737">
        <v>748</v>
      </c>
      <c r="B737">
        <v>20</v>
      </c>
      <c r="C737">
        <v>10</v>
      </c>
      <c r="D737">
        <v>1</v>
      </c>
      <c r="E737" s="1">
        <v>46383.625</v>
      </c>
      <c r="F737">
        <v>2</v>
      </c>
      <c r="G737">
        <v>18</v>
      </c>
      <c r="H737" t="s">
        <v>22</v>
      </c>
      <c r="I737" t="s">
        <v>18</v>
      </c>
      <c r="J737">
        <v>9</v>
      </c>
      <c r="K737">
        <v>2026</v>
      </c>
      <c r="L737">
        <v>12</v>
      </c>
      <c r="M737">
        <v>15</v>
      </c>
      <c r="N737" t="s">
        <v>28</v>
      </c>
      <c r="O737" t="s">
        <v>24</v>
      </c>
      <c r="P737" t="s">
        <v>25</v>
      </c>
      <c r="Q737" t="s">
        <v>40</v>
      </c>
    </row>
    <row r="738" spans="1:17" x14ac:dyDescent="0.35">
      <c r="A738">
        <v>749</v>
      </c>
      <c r="B738">
        <v>9</v>
      </c>
      <c r="C738">
        <v>15</v>
      </c>
      <c r="D738">
        <v>2</v>
      </c>
      <c r="E738" s="1">
        <v>46194.9375</v>
      </c>
      <c r="F738">
        <v>3</v>
      </c>
      <c r="G738">
        <v>30</v>
      </c>
      <c r="H738" t="s">
        <v>22</v>
      </c>
      <c r="I738" t="s">
        <v>18</v>
      </c>
      <c r="J738">
        <v>10</v>
      </c>
      <c r="K738">
        <v>2026</v>
      </c>
      <c r="L738">
        <v>6</v>
      </c>
      <c r="M738">
        <v>22</v>
      </c>
      <c r="N738" t="s">
        <v>28</v>
      </c>
      <c r="O738" t="s">
        <v>24</v>
      </c>
      <c r="P738" t="s">
        <v>38</v>
      </c>
      <c r="Q738" t="s">
        <v>54</v>
      </c>
    </row>
    <row r="739" spans="1:17" x14ac:dyDescent="0.35">
      <c r="A739">
        <v>750</v>
      </c>
      <c r="B739">
        <v>5</v>
      </c>
      <c r="C739">
        <v>16</v>
      </c>
      <c r="D739">
        <v>6</v>
      </c>
      <c r="E739" s="1">
        <v>46276.583333333343</v>
      </c>
      <c r="F739">
        <v>1</v>
      </c>
      <c r="G739">
        <v>8</v>
      </c>
      <c r="H739" t="s">
        <v>22</v>
      </c>
      <c r="I739" t="s">
        <v>31</v>
      </c>
      <c r="J739">
        <v>8</v>
      </c>
      <c r="K739">
        <v>2026</v>
      </c>
      <c r="L739">
        <v>9</v>
      </c>
      <c r="M739">
        <v>14</v>
      </c>
      <c r="N739" t="s">
        <v>43</v>
      </c>
      <c r="O739" t="s">
        <v>13</v>
      </c>
      <c r="P739" t="s">
        <v>51</v>
      </c>
      <c r="Q739" t="s">
        <v>21</v>
      </c>
    </row>
    <row r="740" spans="1:17" x14ac:dyDescent="0.35">
      <c r="A740">
        <v>751</v>
      </c>
      <c r="B740">
        <v>16</v>
      </c>
      <c r="C740">
        <v>15</v>
      </c>
      <c r="D740">
        <v>3</v>
      </c>
      <c r="E740" s="1">
        <v>46224.9375</v>
      </c>
      <c r="F740">
        <v>4</v>
      </c>
      <c r="G740">
        <v>36</v>
      </c>
      <c r="H740" t="s">
        <v>22</v>
      </c>
      <c r="I740" t="s">
        <v>18</v>
      </c>
      <c r="J740">
        <v>9</v>
      </c>
      <c r="K740">
        <v>2026</v>
      </c>
      <c r="L740">
        <v>7</v>
      </c>
      <c r="M740">
        <v>22</v>
      </c>
      <c r="N740" t="s">
        <v>37</v>
      </c>
      <c r="O740" t="s">
        <v>13</v>
      </c>
      <c r="P740" t="s">
        <v>38</v>
      </c>
      <c r="Q740" t="s">
        <v>45</v>
      </c>
    </row>
    <row r="741" spans="1:17" x14ac:dyDescent="0.35">
      <c r="A741">
        <v>752</v>
      </c>
      <c r="B741">
        <v>15</v>
      </c>
      <c r="C741">
        <v>3</v>
      </c>
      <c r="D741">
        <v>8</v>
      </c>
      <c r="E741" s="1">
        <v>46378.604166666657</v>
      </c>
      <c r="F741">
        <v>1</v>
      </c>
      <c r="G741">
        <v>8</v>
      </c>
      <c r="H741" t="s">
        <v>22</v>
      </c>
      <c r="I741" t="s">
        <v>18</v>
      </c>
      <c r="J741">
        <v>8</v>
      </c>
      <c r="K741">
        <v>2026</v>
      </c>
      <c r="L741">
        <v>12</v>
      </c>
      <c r="M741">
        <v>14</v>
      </c>
      <c r="N741" t="s">
        <v>37</v>
      </c>
      <c r="O741" t="s">
        <v>13</v>
      </c>
      <c r="P741" t="s">
        <v>20</v>
      </c>
      <c r="Q741" t="s">
        <v>46</v>
      </c>
    </row>
    <row r="742" spans="1:17" x14ac:dyDescent="0.35">
      <c r="A742">
        <v>753</v>
      </c>
      <c r="B742">
        <v>17</v>
      </c>
      <c r="C742">
        <v>2</v>
      </c>
      <c r="D742">
        <v>3</v>
      </c>
      <c r="E742" s="1">
        <v>46236.625</v>
      </c>
      <c r="F742">
        <v>2</v>
      </c>
      <c r="G742">
        <v>18</v>
      </c>
      <c r="H742" t="s">
        <v>22</v>
      </c>
      <c r="I742" t="s">
        <v>27</v>
      </c>
      <c r="J742">
        <v>9</v>
      </c>
      <c r="K742">
        <v>2026</v>
      </c>
      <c r="L742">
        <v>8</v>
      </c>
      <c r="M742">
        <v>15</v>
      </c>
      <c r="N742" t="s">
        <v>28</v>
      </c>
      <c r="O742" t="s">
        <v>24</v>
      </c>
      <c r="P742" t="s">
        <v>44</v>
      </c>
      <c r="Q742" t="s">
        <v>45</v>
      </c>
    </row>
    <row r="743" spans="1:17" x14ac:dyDescent="0.35">
      <c r="A743">
        <v>754</v>
      </c>
      <c r="B743">
        <v>6</v>
      </c>
      <c r="C743">
        <v>4</v>
      </c>
      <c r="D743">
        <v>5</v>
      </c>
      <c r="E743" s="1">
        <v>46151.666666666657</v>
      </c>
      <c r="F743">
        <v>5</v>
      </c>
      <c r="G743">
        <v>45</v>
      </c>
      <c r="H743" t="s">
        <v>22</v>
      </c>
      <c r="I743" t="s">
        <v>18</v>
      </c>
      <c r="J743">
        <v>9</v>
      </c>
      <c r="K743">
        <v>2026</v>
      </c>
      <c r="L743">
        <v>5</v>
      </c>
      <c r="M743">
        <v>16</v>
      </c>
      <c r="N743" t="s">
        <v>23</v>
      </c>
      <c r="O743" t="s">
        <v>24</v>
      </c>
      <c r="P743" t="s">
        <v>55</v>
      </c>
      <c r="Q743" t="s">
        <v>50</v>
      </c>
    </row>
    <row r="744" spans="1:17" x14ac:dyDescent="0.35">
      <c r="A744">
        <v>755</v>
      </c>
      <c r="B744">
        <v>7</v>
      </c>
      <c r="C744">
        <v>15</v>
      </c>
      <c r="D744">
        <v>3</v>
      </c>
      <c r="E744" s="1">
        <v>46363.75</v>
      </c>
      <c r="F744">
        <v>4</v>
      </c>
      <c r="G744">
        <v>32</v>
      </c>
      <c r="H744" t="s">
        <v>22</v>
      </c>
      <c r="I744" t="s">
        <v>18</v>
      </c>
      <c r="J744">
        <v>8</v>
      </c>
      <c r="K744">
        <v>2026</v>
      </c>
      <c r="L744">
        <v>12</v>
      </c>
      <c r="M744">
        <v>18</v>
      </c>
      <c r="N744" t="s">
        <v>33</v>
      </c>
      <c r="O744" t="s">
        <v>13</v>
      </c>
      <c r="P744" t="s">
        <v>38</v>
      </c>
      <c r="Q744" t="s">
        <v>45</v>
      </c>
    </row>
    <row r="745" spans="1:17" x14ac:dyDescent="0.35">
      <c r="A745">
        <v>756</v>
      </c>
      <c r="B745">
        <v>19</v>
      </c>
      <c r="C745">
        <v>6</v>
      </c>
      <c r="D745">
        <v>10</v>
      </c>
      <c r="E745" s="1">
        <v>46288.895833333343</v>
      </c>
      <c r="F745">
        <v>5</v>
      </c>
      <c r="G745">
        <v>45</v>
      </c>
      <c r="H745" t="s">
        <v>22</v>
      </c>
      <c r="I745" t="s">
        <v>27</v>
      </c>
      <c r="J745">
        <v>9</v>
      </c>
      <c r="K745">
        <v>2026</v>
      </c>
      <c r="L745">
        <v>9</v>
      </c>
      <c r="M745">
        <v>21</v>
      </c>
      <c r="N745" t="s">
        <v>19</v>
      </c>
      <c r="O745" t="s">
        <v>13</v>
      </c>
      <c r="P745" t="s">
        <v>52</v>
      </c>
      <c r="Q745" t="s">
        <v>32</v>
      </c>
    </row>
    <row r="746" spans="1:17" x14ac:dyDescent="0.35">
      <c r="A746">
        <v>757</v>
      </c>
      <c r="B746">
        <v>16</v>
      </c>
      <c r="C746">
        <v>3</v>
      </c>
      <c r="D746">
        <v>10</v>
      </c>
      <c r="E746" s="1">
        <v>46268.645833333343</v>
      </c>
      <c r="F746">
        <v>2</v>
      </c>
      <c r="G746">
        <v>16</v>
      </c>
      <c r="H746" t="s">
        <v>22</v>
      </c>
      <c r="I746" t="s">
        <v>18</v>
      </c>
      <c r="J746">
        <v>8</v>
      </c>
      <c r="K746">
        <v>2026</v>
      </c>
      <c r="L746">
        <v>9</v>
      </c>
      <c r="M746">
        <v>15</v>
      </c>
      <c r="N746" t="s">
        <v>41</v>
      </c>
      <c r="O746" t="s">
        <v>13</v>
      </c>
      <c r="P746" t="s">
        <v>20</v>
      </c>
      <c r="Q746" t="s">
        <v>32</v>
      </c>
    </row>
    <row r="747" spans="1:17" x14ac:dyDescent="0.35">
      <c r="A747">
        <v>758</v>
      </c>
      <c r="B747">
        <v>14</v>
      </c>
      <c r="C747">
        <v>19</v>
      </c>
      <c r="D747">
        <v>5</v>
      </c>
      <c r="E747" s="1">
        <v>46287.75</v>
      </c>
      <c r="F747">
        <v>4</v>
      </c>
      <c r="G747">
        <v>32</v>
      </c>
      <c r="H747" t="s">
        <v>22</v>
      </c>
      <c r="I747" t="s">
        <v>18</v>
      </c>
      <c r="J747">
        <v>8</v>
      </c>
      <c r="K747">
        <v>2026</v>
      </c>
      <c r="L747">
        <v>9</v>
      </c>
      <c r="M747">
        <v>18</v>
      </c>
      <c r="N747" t="s">
        <v>37</v>
      </c>
      <c r="O747" t="s">
        <v>13</v>
      </c>
      <c r="P747" t="s">
        <v>58</v>
      </c>
      <c r="Q747" t="s">
        <v>50</v>
      </c>
    </row>
    <row r="748" spans="1:17" x14ac:dyDescent="0.35">
      <c r="A748">
        <v>759</v>
      </c>
      <c r="B748">
        <v>4</v>
      </c>
      <c r="C748">
        <v>9</v>
      </c>
      <c r="D748">
        <v>4</v>
      </c>
      <c r="E748" s="1">
        <v>46207.6875</v>
      </c>
      <c r="F748">
        <v>3</v>
      </c>
      <c r="G748">
        <v>27</v>
      </c>
      <c r="H748" t="s">
        <v>22</v>
      </c>
      <c r="I748" t="s">
        <v>27</v>
      </c>
      <c r="J748">
        <v>9</v>
      </c>
      <c r="K748">
        <v>2026</v>
      </c>
      <c r="L748">
        <v>7</v>
      </c>
      <c r="M748">
        <v>16</v>
      </c>
      <c r="N748" t="s">
        <v>23</v>
      </c>
      <c r="O748" t="s">
        <v>24</v>
      </c>
      <c r="P748" t="s">
        <v>48</v>
      </c>
      <c r="Q748" t="s">
        <v>26</v>
      </c>
    </row>
    <row r="749" spans="1:17" x14ac:dyDescent="0.35">
      <c r="A749">
        <v>760</v>
      </c>
      <c r="B749">
        <v>8</v>
      </c>
      <c r="C749">
        <v>17</v>
      </c>
      <c r="D749">
        <v>1</v>
      </c>
      <c r="E749" s="1">
        <v>46220.645833333343</v>
      </c>
      <c r="F749">
        <v>3</v>
      </c>
      <c r="G749">
        <v>24</v>
      </c>
      <c r="H749" t="s">
        <v>22</v>
      </c>
      <c r="I749" t="s">
        <v>31</v>
      </c>
      <c r="J749">
        <v>8</v>
      </c>
      <c r="K749">
        <v>2026</v>
      </c>
      <c r="L749">
        <v>7</v>
      </c>
      <c r="M749">
        <v>15</v>
      </c>
      <c r="N749" t="s">
        <v>43</v>
      </c>
      <c r="O749" t="s">
        <v>13</v>
      </c>
      <c r="P749" t="s">
        <v>56</v>
      </c>
      <c r="Q749" t="s">
        <v>40</v>
      </c>
    </row>
    <row r="750" spans="1:17" x14ac:dyDescent="0.35">
      <c r="A750">
        <v>761</v>
      </c>
      <c r="B750">
        <v>1</v>
      </c>
      <c r="C750">
        <v>15</v>
      </c>
      <c r="D750">
        <v>6</v>
      </c>
      <c r="E750" s="1">
        <v>46031.666666666657</v>
      </c>
      <c r="F750">
        <v>5</v>
      </c>
      <c r="G750">
        <v>40</v>
      </c>
      <c r="H750" t="s">
        <v>22</v>
      </c>
      <c r="I750" t="s">
        <v>18</v>
      </c>
      <c r="J750">
        <v>8</v>
      </c>
      <c r="K750">
        <v>2026</v>
      </c>
      <c r="L750">
        <v>1</v>
      </c>
      <c r="M750">
        <v>16</v>
      </c>
      <c r="N750" t="s">
        <v>43</v>
      </c>
      <c r="O750" t="s">
        <v>13</v>
      </c>
      <c r="P750" t="s">
        <v>38</v>
      </c>
      <c r="Q750" t="s">
        <v>21</v>
      </c>
    </row>
    <row r="751" spans="1:17" x14ac:dyDescent="0.35">
      <c r="A751">
        <v>762</v>
      </c>
      <c r="B751">
        <v>5</v>
      </c>
      <c r="C751">
        <v>2</v>
      </c>
      <c r="D751">
        <v>8</v>
      </c>
      <c r="E751" s="1">
        <v>46316.75</v>
      </c>
      <c r="F751">
        <v>4</v>
      </c>
      <c r="G751">
        <v>32</v>
      </c>
      <c r="H751" t="s">
        <v>22</v>
      </c>
      <c r="I751" t="s">
        <v>18</v>
      </c>
      <c r="J751">
        <v>8</v>
      </c>
      <c r="K751">
        <v>2026</v>
      </c>
      <c r="L751">
        <v>10</v>
      </c>
      <c r="M751">
        <v>18</v>
      </c>
      <c r="N751" t="s">
        <v>19</v>
      </c>
      <c r="O751" t="s">
        <v>13</v>
      </c>
      <c r="P751" t="s">
        <v>44</v>
      </c>
      <c r="Q751" t="s">
        <v>46</v>
      </c>
    </row>
    <row r="752" spans="1:17" x14ac:dyDescent="0.35">
      <c r="A752">
        <v>763</v>
      </c>
      <c r="B752">
        <v>7</v>
      </c>
      <c r="C752">
        <v>3</v>
      </c>
      <c r="D752">
        <v>3</v>
      </c>
      <c r="E752" s="1">
        <v>46301.854166666657</v>
      </c>
      <c r="F752">
        <v>4</v>
      </c>
      <c r="G752">
        <v>32</v>
      </c>
      <c r="H752" t="s">
        <v>22</v>
      </c>
      <c r="I752" t="s">
        <v>18</v>
      </c>
      <c r="J752">
        <v>8</v>
      </c>
      <c r="K752">
        <v>2026</v>
      </c>
      <c r="L752">
        <v>10</v>
      </c>
      <c r="M752">
        <v>20</v>
      </c>
      <c r="N752" t="s">
        <v>37</v>
      </c>
      <c r="O752" t="s">
        <v>13</v>
      </c>
      <c r="P752" t="s">
        <v>20</v>
      </c>
      <c r="Q752" t="s">
        <v>45</v>
      </c>
    </row>
    <row r="753" spans="1:17" x14ac:dyDescent="0.35">
      <c r="A753">
        <v>764</v>
      </c>
      <c r="B753">
        <v>18</v>
      </c>
      <c r="C753">
        <v>18</v>
      </c>
      <c r="D753">
        <v>9</v>
      </c>
      <c r="E753" s="1">
        <v>46361.666666666657</v>
      </c>
      <c r="F753">
        <v>3</v>
      </c>
      <c r="G753">
        <v>27</v>
      </c>
      <c r="H753" t="s">
        <v>22</v>
      </c>
      <c r="I753" t="s">
        <v>31</v>
      </c>
      <c r="J753">
        <v>9</v>
      </c>
      <c r="K753">
        <v>2026</v>
      </c>
      <c r="L753">
        <v>12</v>
      </c>
      <c r="M753">
        <v>16</v>
      </c>
      <c r="N753" t="s">
        <v>23</v>
      </c>
      <c r="O753" t="s">
        <v>24</v>
      </c>
      <c r="P753" t="s">
        <v>47</v>
      </c>
      <c r="Q753" t="s">
        <v>30</v>
      </c>
    </row>
    <row r="754" spans="1:17" x14ac:dyDescent="0.35">
      <c r="A754">
        <v>765</v>
      </c>
      <c r="B754">
        <v>6</v>
      </c>
      <c r="C754">
        <v>6</v>
      </c>
      <c r="D754">
        <v>5</v>
      </c>
      <c r="E754" s="1">
        <v>46209.583333333343</v>
      </c>
      <c r="F754">
        <v>6</v>
      </c>
      <c r="G754">
        <v>48</v>
      </c>
      <c r="H754" t="s">
        <v>22</v>
      </c>
      <c r="I754" t="s">
        <v>18</v>
      </c>
      <c r="J754">
        <v>8</v>
      </c>
      <c r="K754">
        <v>2026</v>
      </c>
      <c r="L754">
        <v>7</v>
      </c>
      <c r="M754">
        <v>14</v>
      </c>
      <c r="N754" t="s">
        <v>33</v>
      </c>
      <c r="O754" t="s">
        <v>13</v>
      </c>
      <c r="P754" t="s">
        <v>52</v>
      </c>
      <c r="Q754" t="s">
        <v>50</v>
      </c>
    </row>
    <row r="755" spans="1:17" x14ac:dyDescent="0.35">
      <c r="A755">
        <v>766</v>
      </c>
      <c r="B755">
        <v>16</v>
      </c>
      <c r="C755">
        <v>9</v>
      </c>
      <c r="D755">
        <v>9</v>
      </c>
      <c r="E755" s="1">
        <v>46322.645833333343</v>
      </c>
      <c r="F755">
        <v>6</v>
      </c>
      <c r="G755">
        <v>48</v>
      </c>
      <c r="H755" t="s">
        <v>22</v>
      </c>
      <c r="I755" t="s">
        <v>18</v>
      </c>
      <c r="J755">
        <v>8</v>
      </c>
      <c r="K755">
        <v>2026</v>
      </c>
      <c r="L755">
        <v>10</v>
      </c>
      <c r="M755">
        <v>15</v>
      </c>
      <c r="N755" t="s">
        <v>37</v>
      </c>
      <c r="O755" t="s">
        <v>13</v>
      </c>
      <c r="P755" t="s">
        <v>48</v>
      </c>
      <c r="Q755" t="s">
        <v>30</v>
      </c>
    </row>
    <row r="756" spans="1:17" x14ac:dyDescent="0.35">
      <c r="A756">
        <v>767</v>
      </c>
      <c r="B756">
        <v>6</v>
      </c>
      <c r="C756">
        <v>8</v>
      </c>
      <c r="D756">
        <v>7</v>
      </c>
      <c r="E756" s="1">
        <v>46187.979166666657</v>
      </c>
      <c r="F756">
        <v>5</v>
      </c>
      <c r="G756">
        <v>50</v>
      </c>
      <c r="H756" t="s">
        <v>22</v>
      </c>
      <c r="I756" t="s">
        <v>18</v>
      </c>
      <c r="J756">
        <v>10</v>
      </c>
      <c r="K756">
        <v>2026</v>
      </c>
      <c r="L756">
        <v>6</v>
      </c>
      <c r="M756">
        <v>23</v>
      </c>
      <c r="N756" t="s">
        <v>28</v>
      </c>
      <c r="O756" t="s">
        <v>24</v>
      </c>
      <c r="P756" t="s">
        <v>42</v>
      </c>
      <c r="Q756" t="s">
        <v>35</v>
      </c>
    </row>
    <row r="757" spans="1:17" x14ac:dyDescent="0.35">
      <c r="A757">
        <v>768</v>
      </c>
      <c r="B757">
        <v>17</v>
      </c>
      <c r="C757">
        <v>17</v>
      </c>
      <c r="D757">
        <v>5</v>
      </c>
      <c r="E757" s="1">
        <v>46183.666666666657</v>
      </c>
      <c r="F757">
        <v>5</v>
      </c>
      <c r="G757">
        <v>40</v>
      </c>
      <c r="H757" t="s">
        <v>22</v>
      </c>
      <c r="I757" t="s">
        <v>27</v>
      </c>
      <c r="J757">
        <v>8</v>
      </c>
      <c r="K757">
        <v>2026</v>
      </c>
      <c r="L757">
        <v>6</v>
      </c>
      <c r="M757">
        <v>16</v>
      </c>
      <c r="N757" t="s">
        <v>19</v>
      </c>
      <c r="O757" t="s">
        <v>13</v>
      </c>
      <c r="P757" t="s">
        <v>56</v>
      </c>
      <c r="Q757" t="s">
        <v>50</v>
      </c>
    </row>
    <row r="758" spans="1:17" x14ac:dyDescent="0.35">
      <c r="A758">
        <v>769</v>
      </c>
      <c r="B758">
        <v>18</v>
      </c>
      <c r="C758">
        <v>5</v>
      </c>
      <c r="D758">
        <v>4</v>
      </c>
      <c r="E758" s="1">
        <v>46070.8125</v>
      </c>
      <c r="F758">
        <v>6</v>
      </c>
      <c r="G758">
        <v>48</v>
      </c>
      <c r="H758" t="s">
        <v>22</v>
      </c>
      <c r="I758" t="s">
        <v>27</v>
      </c>
      <c r="J758">
        <v>8</v>
      </c>
      <c r="K758">
        <v>2026</v>
      </c>
      <c r="L758">
        <v>2</v>
      </c>
      <c r="M758">
        <v>19</v>
      </c>
      <c r="N758" t="s">
        <v>37</v>
      </c>
      <c r="O758" t="s">
        <v>13</v>
      </c>
      <c r="P758" t="s">
        <v>53</v>
      </c>
      <c r="Q758" t="s">
        <v>26</v>
      </c>
    </row>
    <row r="759" spans="1:17" x14ac:dyDescent="0.35">
      <c r="A759">
        <v>770</v>
      </c>
      <c r="B759">
        <v>4</v>
      </c>
      <c r="C759">
        <v>7</v>
      </c>
      <c r="D759">
        <v>8</v>
      </c>
      <c r="E759" s="1">
        <v>46135.666666666657</v>
      </c>
      <c r="F759">
        <v>1</v>
      </c>
      <c r="G759">
        <v>8</v>
      </c>
      <c r="H759" t="s">
        <v>22</v>
      </c>
      <c r="I759" t="s">
        <v>31</v>
      </c>
      <c r="J759">
        <v>8</v>
      </c>
      <c r="K759">
        <v>2026</v>
      </c>
      <c r="L759">
        <v>4</v>
      </c>
      <c r="M759">
        <v>16</v>
      </c>
      <c r="N759" t="s">
        <v>41</v>
      </c>
      <c r="O759" t="s">
        <v>13</v>
      </c>
      <c r="P759" t="s">
        <v>34</v>
      </c>
      <c r="Q759" t="s">
        <v>46</v>
      </c>
    </row>
    <row r="760" spans="1:17" x14ac:dyDescent="0.35">
      <c r="A760">
        <v>771</v>
      </c>
      <c r="B760">
        <v>20</v>
      </c>
      <c r="C760">
        <v>10</v>
      </c>
      <c r="D760">
        <v>3</v>
      </c>
      <c r="E760" s="1">
        <v>46206.833333333343</v>
      </c>
      <c r="F760">
        <v>5</v>
      </c>
      <c r="G760">
        <v>40</v>
      </c>
      <c r="H760" t="s">
        <v>17</v>
      </c>
      <c r="I760" t="s">
        <v>31</v>
      </c>
      <c r="J760">
        <v>8</v>
      </c>
      <c r="K760">
        <v>2026</v>
      </c>
      <c r="L760">
        <v>7</v>
      </c>
      <c r="M760">
        <v>20</v>
      </c>
      <c r="N760" t="s">
        <v>43</v>
      </c>
      <c r="O760" t="s">
        <v>13</v>
      </c>
      <c r="P760" t="s">
        <v>25</v>
      </c>
      <c r="Q760" t="s">
        <v>45</v>
      </c>
    </row>
    <row r="761" spans="1:17" x14ac:dyDescent="0.35">
      <c r="A761">
        <v>772</v>
      </c>
      <c r="B761">
        <v>1</v>
      </c>
      <c r="C761">
        <v>15</v>
      </c>
      <c r="D761">
        <v>10</v>
      </c>
      <c r="E761" s="1">
        <v>46057.75</v>
      </c>
      <c r="F761">
        <v>4</v>
      </c>
      <c r="G761">
        <v>32</v>
      </c>
      <c r="H761" t="s">
        <v>22</v>
      </c>
      <c r="I761" t="s">
        <v>31</v>
      </c>
      <c r="J761">
        <v>8</v>
      </c>
      <c r="K761">
        <v>2026</v>
      </c>
      <c r="L761">
        <v>2</v>
      </c>
      <c r="M761">
        <v>18</v>
      </c>
      <c r="N761" t="s">
        <v>19</v>
      </c>
      <c r="O761" t="s">
        <v>13</v>
      </c>
      <c r="P761" t="s">
        <v>38</v>
      </c>
      <c r="Q761" t="s">
        <v>32</v>
      </c>
    </row>
    <row r="762" spans="1:17" x14ac:dyDescent="0.35">
      <c r="A762">
        <v>773</v>
      </c>
      <c r="B762">
        <v>12</v>
      </c>
      <c r="C762">
        <v>15</v>
      </c>
      <c r="D762">
        <v>6</v>
      </c>
      <c r="E762" s="1">
        <v>46076.625</v>
      </c>
      <c r="F762">
        <v>3</v>
      </c>
      <c r="G762">
        <v>24</v>
      </c>
      <c r="H762" t="s">
        <v>22</v>
      </c>
      <c r="I762" t="s">
        <v>31</v>
      </c>
      <c r="J762">
        <v>8</v>
      </c>
      <c r="K762">
        <v>2026</v>
      </c>
      <c r="L762">
        <v>2</v>
      </c>
      <c r="M762">
        <v>15</v>
      </c>
      <c r="N762" t="s">
        <v>33</v>
      </c>
      <c r="O762" t="s">
        <v>13</v>
      </c>
      <c r="P762" t="s">
        <v>38</v>
      </c>
      <c r="Q762" t="s">
        <v>21</v>
      </c>
    </row>
    <row r="763" spans="1:17" x14ac:dyDescent="0.35">
      <c r="A763">
        <v>774</v>
      </c>
      <c r="B763">
        <v>6</v>
      </c>
      <c r="C763">
        <v>5</v>
      </c>
      <c r="D763">
        <v>6</v>
      </c>
      <c r="E763" s="1">
        <v>46041.895833333343</v>
      </c>
      <c r="F763">
        <v>3</v>
      </c>
      <c r="G763">
        <v>27</v>
      </c>
      <c r="H763" t="s">
        <v>22</v>
      </c>
      <c r="I763" t="s">
        <v>27</v>
      </c>
      <c r="J763">
        <v>9</v>
      </c>
      <c r="K763">
        <v>2026</v>
      </c>
      <c r="L763">
        <v>1</v>
      </c>
      <c r="M763">
        <v>21</v>
      </c>
      <c r="N763" t="s">
        <v>33</v>
      </c>
      <c r="O763" t="s">
        <v>13</v>
      </c>
      <c r="P763" t="s">
        <v>53</v>
      </c>
      <c r="Q763" t="s">
        <v>21</v>
      </c>
    </row>
    <row r="764" spans="1:17" x14ac:dyDescent="0.35">
      <c r="A764">
        <v>775</v>
      </c>
      <c r="B764">
        <v>20</v>
      </c>
      <c r="C764">
        <v>2</v>
      </c>
      <c r="D764">
        <v>1</v>
      </c>
      <c r="E764" s="1">
        <v>46375.625</v>
      </c>
      <c r="F764">
        <v>1</v>
      </c>
      <c r="G764">
        <v>9</v>
      </c>
      <c r="H764" t="s">
        <v>22</v>
      </c>
      <c r="I764" t="s">
        <v>18</v>
      </c>
      <c r="J764">
        <v>9</v>
      </c>
      <c r="K764">
        <v>2026</v>
      </c>
      <c r="L764">
        <v>12</v>
      </c>
      <c r="M764">
        <v>15</v>
      </c>
      <c r="N764" t="s">
        <v>23</v>
      </c>
      <c r="O764" t="s">
        <v>24</v>
      </c>
      <c r="P764" t="s">
        <v>44</v>
      </c>
      <c r="Q764" t="s">
        <v>40</v>
      </c>
    </row>
    <row r="765" spans="1:17" x14ac:dyDescent="0.35">
      <c r="A765">
        <v>776</v>
      </c>
      <c r="B765">
        <v>13</v>
      </c>
      <c r="C765">
        <v>3</v>
      </c>
      <c r="D765">
        <v>5</v>
      </c>
      <c r="E765" s="1">
        <v>46331.729166666657</v>
      </c>
      <c r="F765">
        <v>2</v>
      </c>
      <c r="G765">
        <v>16</v>
      </c>
      <c r="H765" t="s">
        <v>22</v>
      </c>
      <c r="I765" t="s">
        <v>31</v>
      </c>
      <c r="J765">
        <v>8</v>
      </c>
      <c r="K765">
        <v>2026</v>
      </c>
      <c r="L765">
        <v>11</v>
      </c>
      <c r="M765">
        <v>17</v>
      </c>
      <c r="N765" t="s">
        <v>41</v>
      </c>
      <c r="O765" t="s">
        <v>13</v>
      </c>
      <c r="P765" t="s">
        <v>20</v>
      </c>
      <c r="Q765" t="s">
        <v>50</v>
      </c>
    </row>
    <row r="766" spans="1:17" x14ac:dyDescent="0.35">
      <c r="A766">
        <v>777</v>
      </c>
      <c r="B766">
        <v>17</v>
      </c>
      <c r="C766">
        <v>18</v>
      </c>
      <c r="D766">
        <v>10</v>
      </c>
      <c r="E766" s="1">
        <v>46288.854166666657</v>
      </c>
      <c r="F766">
        <v>2</v>
      </c>
      <c r="G766">
        <v>16</v>
      </c>
      <c r="H766" t="s">
        <v>22</v>
      </c>
      <c r="I766" t="s">
        <v>18</v>
      </c>
      <c r="J766">
        <v>8</v>
      </c>
      <c r="K766">
        <v>2026</v>
      </c>
      <c r="L766">
        <v>9</v>
      </c>
      <c r="M766">
        <v>20</v>
      </c>
      <c r="N766" t="s">
        <v>19</v>
      </c>
      <c r="O766" t="s">
        <v>13</v>
      </c>
      <c r="P766" t="s">
        <v>47</v>
      </c>
      <c r="Q766" t="s">
        <v>32</v>
      </c>
    </row>
    <row r="767" spans="1:17" x14ac:dyDescent="0.35">
      <c r="A767">
        <v>778</v>
      </c>
      <c r="B767">
        <v>18</v>
      </c>
      <c r="C767">
        <v>10</v>
      </c>
      <c r="D767">
        <v>10</v>
      </c>
      <c r="E767" s="1">
        <v>46086.708333333343</v>
      </c>
      <c r="F767">
        <v>3</v>
      </c>
      <c r="G767">
        <v>24</v>
      </c>
      <c r="H767" t="s">
        <v>17</v>
      </c>
      <c r="I767" t="s">
        <v>31</v>
      </c>
      <c r="J767">
        <v>8</v>
      </c>
      <c r="K767">
        <v>2026</v>
      </c>
      <c r="L767">
        <v>3</v>
      </c>
      <c r="M767">
        <v>17</v>
      </c>
      <c r="N767" t="s">
        <v>41</v>
      </c>
      <c r="O767" t="s">
        <v>13</v>
      </c>
      <c r="P767" t="s">
        <v>25</v>
      </c>
      <c r="Q767" t="s">
        <v>32</v>
      </c>
    </row>
    <row r="768" spans="1:17" x14ac:dyDescent="0.35">
      <c r="A768">
        <v>779</v>
      </c>
      <c r="B768">
        <v>1</v>
      </c>
      <c r="C768">
        <v>10</v>
      </c>
      <c r="D768">
        <v>10</v>
      </c>
      <c r="E768" s="1">
        <v>46098.604166666657</v>
      </c>
      <c r="F768">
        <v>2</v>
      </c>
      <c r="G768">
        <v>16</v>
      </c>
      <c r="H768" t="s">
        <v>22</v>
      </c>
      <c r="I768" t="s">
        <v>18</v>
      </c>
      <c r="J768">
        <v>8</v>
      </c>
      <c r="K768">
        <v>2026</v>
      </c>
      <c r="L768">
        <v>3</v>
      </c>
      <c r="M768">
        <v>14</v>
      </c>
      <c r="N768" t="s">
        <v>37</v>
      </c>
      <c r="O768" t="s">
        <v>13</v>
      </c>
      <c r="P768" t="s">
        <v>25</v>
      </c>
      <c r="Q768" t="s">
        <v>32</v>
      </c>
    </row>
    <row r="769" spans="1:17" x14ac:dyDescent="0.35">
      <c r="A769">
        <v>780</v>
      </c>
      <c r="B769">
        <v>12</v>
      </c>
      <c r="C769">
        <v>11</v>
      </c>
      <c r="D769">
        <v>6</v>
      </c>
      <c r="E769" s="1">
        <v>46107.583333333343</v>
      </c>
      <c r="F769">
        <v>2</v>
      </c>
      <c r="G769">
        <v>16</v>
      </c>
      <c r="H769" t="s">
        <v>22</v>
      </c>
      <c r="I769" t="s">
        <v>31</v>
      </c>
      <c r="J769">
        <v>8</v>
      </c>
      <c r="K769">
        <v>2026</v>
      </c>
      <c r="L769">
        <v>3</v>
      </c>
      <c r="M769">
        <v>14</v>
      </c>
      <c r="N769" t="s">
        <v>41</v>
      </c>
      <c r="O769" t="s">
        <v>13</v>
      </c>
      <c r="P769" t="s">
        <v>59</v>
      </c>
      <c r="Q769" t="s">
        <v>21</v>
      </c>
    </row>
    <row r="770" spans="1:17" x14ac:dyDescent="0.35">
      <c r="A770">
        <v>781</v>
      </c>
      <c r="B770">
        <v>20</v>
      </c>
      <c r="C770">
        <v>20</v>
      </c>
      <c r="D770">
        <v>3</v>
      </c>
      <c r="E770" s="1">
        <v>46089.958333333343</v>
      </c>
      <c r="F770">
        <v>6</v>
      </c>
      <c r="G770">
        <v>60</v>
      </c>
      <c r="H770" t="s">
        <v>22</v>
      </c>
      <c r="I770" t="s">
        <v>18</v>
      </c>
      <c r="J770">
        <v>10</v>
      </c>
      <c r="K770">
        <v>2026</v>
      </c>
      <c r="L770">
        <v>3</v>
      </c>
      <c r="M770">
        <v>23</v>
      </c>
      <c r="N770" t="s">
        <v>28</v>
      </c>
      <c r="O770" t="s">
        <v>24</v>
      </c>
      <c r="P770" t="s">
        <v>36</v>
      </c>
      <c r="Q770" t="s">
        <v>45</v>
      </c>
    </row>
    <row r="771" spans="1:17" x14ac:dyDescent="0.35">
      <c r="A771">
        <v>782</v>
      </c>
      <c r="B771">
        <v>1</v>
      </c>
      <c r="C771">
        <v>5</v>
      </c>
      <c r="D771">
        <v>6</v>
      </c>
      <c r="E771" s="1">
        <v>46279.729166666657</v>
      </c>
      <c r="F771">
        <v>3</v>
      </c>
      <c r="G771">
        <v>24</v>
      </c>
      <c r="H771" t="s">
        <v>22</v>
      </c>
      <c r="I771" t="s">
        <v>18</v>
      </c>
      <c r="J771">
        <v>8</v>
      </c>
      <c r="K771">
        <v>2026</v>
      </c>
      <c r="L771">
        <v>9</v>
      </c>
      <c r="M771">
        <v>17</v>
      </c>
      <c r="N771" t="s">
        <v>33</v>
      </c>
      <c r="O771" t="s">
        <v>13</v>
      </c>
      <c r="P771" t="s">
        <v>53</v>
      </c>
      <c r="Q771" t="s">
        <v>21</v>
      </c>
    </row>
    <row r="772" spans="1:17" x14ac:dyDescent="0.35">
      <c r="A772">
        <v>783</v>
      </c>
      <c r="B772">
        <v>8</v>
      </c>
      <c r="C772">
        <v>7</v>
      </c>
      <c r="D772">
        <v>1</v>
      </c>
      <c r="E772" s="1">
        <v>46128.770833333343</v>
      </c>
      <c r="F772">
        <v>2</v>
      </c>
      <c r="G772">
        <v>16</v>
      </c>
      <c r="H772" t="s">
        <v>22</v>
      </c>
      <c r="I772" t="s">
        <v>18</v>
      </c>
      <c r="J772">
        <v>8</v>
      </c>
      <c r="K772">
        <v>2026</v>
      </c>
      <c r="L772">
        <v>4</v>
      </c>
      <c r="M772">
        <v>18</v>
      </c>
      <c r="N772" t="s">
        <v>41</v>
      </c>
      <c r="O772" t="s">
        <v>13</v>
      </c>
      <c r="P772" t="s">
        <v>34</v>
      </c>
      <c r="Q772" t="s">
        <v>40</v>
      </c>
    </row>
    <row r="773" spans="1:17" x14ac:dyDescent="0.35">
      <c r="A773">
        <v>784</v>
      </c>
      <c r="B773">
        <v>12</v>
      </c>
      <c r="C773">
        <v>14</v>
      </c>
      <c r="D773">
        <v>8</v>
      </c>
      <c r="E773" s="1">
        <v>46184.583333333343</v>
      </c>
      <c r="F773">
        <v>3</v>
      </c>
      <c r="G773">
        <v>24</v>
      </c>
      <c r="H773" t="s">
        <v>22</v>
      </c>
      <c r="I773" t="s">
        <v>27</v>
      </c>
      <c r="J773">
        <v>8</v>
      </c>
      <c r="K773">
        <v>2026</v>
      </c>
      <c r="L773">
        <v>6</v>
      </c>
      <c r="M773">
        <v>14</v>
      </c>
      <c r="N773" t="s">
        <v>41</v>
      </c>
      <c r="O773" t="s">
        <v>13</v>
      </c>
      <c r="P773" t="s">
        <v>29</v>
      </c>
      <c r="Q773" t="s">
        <v>46</v>
      </c>
    </row>
    <row r="774" spans="1:17" x14ac:dyDescent="0.35">
      <c r="A774">
        <v>785</v>
      </c>
      <c r="B774">
        <v>17</v>
      </c>
      <c r="C774">
        <v>10</v>
      </c>
      <c r="D774">
        <v>1</v>
      </c>
      <c r="E774" s="1">
        <v>46327.645833333343</v>
      </c>
      <c r="F774">
        <v>3</v>
      </c>
      <c r="G774">
        <v>27</v>
      </c>
      <c r="H774" t="s">
        <v>22</v>
      </c>
      <c r="I774" t="s">
        <v>31</v>
      </c>
      <c r="J774">
        <v>9</v>
      </c>
      <c r="K774">
        <v>2026</v>
      </c>
      <c r="L774">
        <v>11</v>
      </c>
      <c r="M774">
        <v>15</v>
      </c>
      <c r="N774" t="s">
        <v>28</v>
      </c>
      <c r="O774" t="s">
        <v>24</v>
      </c>
      <c r="P774" t="s">
        <v>25</v>
      </c>
      <c r="Q774" t="s">
        <v>40</v>
      </c>
    </row>
    <row r="775" spans="1:17" x14ac:dyDescent="0.35">
      <c r="A775">
        <v>786</v>
      </c>
      <c r="B775">
        <v>9</v>
      </c>
      <c r="C775">
        <v>10</v>
      </c>
      <c r="D775">
        <v>1</v>
      </c>
      <c r="E775" s="1">
        <v>46073.8125</v>
      </c>
      <c r="F775">
        <v>5</v>
      </c>
      <c r="G775">
        <v>40</v>
      </c>
      <c r="H775" t="s">
        <v>22</v>
      </c>
      <c r="I775" t="s">
        <v>31</v>
      </c>
      <c r="J775">
        <v>8</v>
      </c>
      <c r="K775">
        <v>2026</v>
      </c>
      <c r="L775">
        <v>2</v>
      </c>
      <c r="M775">
        <v>19</v>
      </c>
      <c r="N775" t="s">
        <v>43</v>
      </c>
      <c r="O775" t="s">
        <v>13</v>
      </c>
      <c r="P775" t="s">
        <v>25</v>
      </c>
      <c r="Q775" t="s">
        <v>40</v>
      </c>
    </row>
    <row r="776" spans="1:17" x14ac:dyDescent="0.35">
      <c r="A776">
        <v>787</v>
      </c>
      <c r="B776">
        <v>19</v>
      </c>
      <c r="C776">
        <v>8</v>
      </c>
      <c r="D776">
        <v>4</v>
      </c>
      <c r="E776" s="1">
        <v>46068.729166666657</v>
      </c>
      <c r="F776">
        <v>4</v>
      </c>
      <c r="G776">
        <v>36</v>
      </c>
      <c r="H776" t="s">
        <v>22</v>
      </c>
      <c r="I776" t="s">
        <v>27</v>
      </c>
      <c r="J776">
        <v>9</v>
      </c>
      <c r="K776">
        <v>2026</v>
      </c>
      <c r="L776">
        <v>2</v>
      </c>
      <c r="M776">
        <v>17</v>
      </c>
      <c r="N776" t="s">
        <v>28</v>
      </c>
      <c r="O776" t="s">
        <v>24</v>
      </c>
      <c r="P776" t="s">
        <v>42</v>
      </c>
      <c r="Q776" t="s">
        <v>26</v>
      </c>
    </row>
    <row r="777" spans="1:17" x14ac:dyDescent="0.35">
      <c r="A777">
        <v>788</v>
      </c>
      <c r="B777">
        <v>7</v>
      </c>
      <c r="C777">
        <v>3</v>
      </c>
      <c r="D777">
        <v>10</v>
      </c>
      <c r="E777" s="1">
        <v>46126.729166666657</v>
      </c>
      <c r="F777">
        <v>6</v>
      </c>
      <c r="G777">
        <v>48</v>
      </c>
      <c r="H777" t="s">
        <v>22</v>
      </c>
      <c r="I777" t="s">
        <v>27</v>
      </c>
      <c r="J777">
        <v>8</v>
      </c>
      <c r="K777">
        <v>2026</v>
      </c>
      <c r="L777">
        <v>4</v>
      </c>
      <c r="M777">
        <v>17</v>
      </c>
      <c r="N777" t="s">
        <v>37</v>
      </c>
      <c r="O777" t="s">
        <v>13</v>
      </c>
      <c r="P777" t="s">
        <v>20</v>
      </c>
      <c r="Q777" t="s">
        <v>32</v>
      </c>
    </row>
    <row r="778" spans="1:17" x14ac:dyDescent="0.35">
      <c r="A778">
        <v>789</v>
      </c>
      <c r="B778">
        <v>17</v>
      </c>
      <c r="C778">
        <v>17</v>
      </c>
      <c r="D778">
        <v>3</v>
      </c>
      <c r="E778" s="1">
        <v>46140.75</v>
      </c>
      <c r="F778">
        <v>6</v>
      </c>
      <c r="G778">
        <v>48</v>
      </c>
      <c r="H778" t="s">
        <v>17</v>
      </c>
      <c r="I778" t="s">
        <v>31</v>
      </c>
      <c r="J778">
        <v>8</v>
      </c>
      <c r="K778">
        <v>2026</v>
      </c>
      <c r="L778">
        <v>4</v>
      </c>
      <c r="M778">
        <v>18</v>
      </c>
      <c r="N778" t="s">
        <v>37</v>
      </c>
      <c r="O778" t="s">
        <v>13</v>
      </c>
      <c r="P778" t="s">
        <v>56</v>
      </c>
      <c r="Q778" t="s">
        <v>45</v>
      </c>
    </row>
    <row r="779" spans="1:17" x14ac:dyDescent="0.35">
      <c r="A779">
        <v>790</v>
      </c>
      <c r="B779">
        <v>11</v>
      </c>
      <c r="C779">
        <v>20</v>
      </c>
      <c r="D779">
        <v>6</v>
      </c>
      <c r="E779" s="1">
        <v>46375.729166666657</v>
      </c>
      <c r="F779">
        <v>4</v>
      </c>
      <c r="G779">
        <v>36</v>
      </c>
      <c r="H779" t="s">
        <v>17</v>
      </c>
      <c r="I779" t="s">
        <v>31</v>
      </c>
      <c r="J779">
        <v>9</v>
      </c>
      <c r="K779">
        <v>2026</v>
      </c>
      <c r="L779">
        <v>12</v>
      </c>
      <c r="M779">
        <v>17</v>
      </c>
      <c r="N779" t="s">
        <v>23</v>
      </c>
      <c r="O779" t="s">
        <v>24</v>
      </c>
      <c r="P779" t="s">
        <v>36</v>
      </c>
      <c r="Q779" t="s">
        <v>21</v>
      </c>
    </row>
    <row r="780" spans="1:17" x14ac:dyDescent="0.35">
      <c r="A780">
        <v>791</v>
      </c>
      <c r="B780">
        <v>20</v>
      </c>
      <c r="C780">
        <v>12</v>
      </c>
      <c r="D780">
        <v>6</v>
      </c>
      <c r="E780" s="1">
        <v>46251.583333333343</v>
      </c>
      <c r="F780">
        <v>1</v>
      </c>
      <c r="G780">
        <v>8</v>
      </c>
      <c r="H780" t="s">
        <v>22</v>
      </c>
      <c r="I780" t="s">
        <v>18</v>
      </c>
      <c r="J780">
        <v>8</v>
      </c>
      <c r="K780">
        <v>2026</v>
      </c>
      <c r="L780">
        <v>8</v>
      </c>
      <c r="M780">
        <v>14</v>
      </c>
      <c r="N780" t="s">
        <v>33</v>
      </c>
      <c r="O780" t="s">
        <v>13</v>
      </c>
      <c r="P780" t="s">
        <v>57</v>
      </c>
      <c r="Q780" t="s">
        <v>21</v>
      </c>
    </row>
    <row r="781" spans="1:17" x14ac:dyDescent="0.35">
      <c r="A781">
        <v>792</v>
      </c>
      <c r="B781">
        <v>4</v>
      </c>
      <c r="C781">
        <v>8</v>
      </c>
      <c r="D781">
        <v>3</v>
      </c>
      <c r="E781" s="1">
        <v>46372.791666666657</v>
      </c>
      <c r="F781">
        <v>6</v>
      </c>
      <c r="G781">
        <v>48</v>
      </c>
      <c r="H781" t="s">
        <v>22</v>
      </c>
      <c r="I781" t="s">
        <v>31</v>
      </c>
      <c r="J781">
        <v>8</v>
      </c>
      <c r="K781">
        <v>2026</v>
      </c>
      <c r="L781">
        <v>12</v>
      </c>
      <c r="M781">
        <v>19</v>
      </c>
      <c r="N781" t="s">
        <v>19</v>
      </c>
      <c r="O781" t="s">
        <v>13</v>
      </c>
      <c r="P781" t="s">
        <v>42</v>
      </c>
      <c r="Q781" t="s">
        <v>45</v>
      </c>
    </row>
    <row r="782" spans="1:17" x14ac:dyDescent="0.35">
      <c r="A782">
        <v>793</v>
      </c>
      <c r="B782">
        <v>15</v>
      </c>
      <c r="C782">
        <v>19</v>
      </c>
      <c r="D782">
        <v>4</v>
      </c>
      <c r="E782" s="1">
        <v>46280.770833333343</v>
      </c>
      <c r="F782">
        <v>1</v>
      </c>
      <c r="G782">
        <v>8</v>
      </c>
      <c r="H782" t="s">
        <v>22</v>
      </c>
      <c r="I782" t="s">
        <v>31</v>
      </c>
      <c r="J782">
        <v>8</v>
      </c>
      <c r="K782">
        <v>2026</v>
      </c>
      <c r="L782">
        <v>9</v>
      </c>
      <c r="M782">
        <v>18</v>
      </c>
      <c r="N782" t="s">
        <v>37</v>
      </c>
      <c r="O782" t="s">
        <v>13</v>
      </c>
      <c r="P782" t="s">
        <v>58</v>
      </c>
      <c r="Q782" t="s">
        <v>26</v>
      </c>
    </row>
    <row r="783" spans="1:17" x14ac:dyDescent="0.35">
      <c r="A783">
        <v>794</v>
      </c>
      <c r="B783">
        <v>6</v>
      </c>
      <c r="C783">
        <v>9</v>
      </c>
      <c r="D783">
        <v>3</v>
      </c>
      <c r="E783" s="1">
        <v>46191.666666666657</v>
      </c>
      <c r="F783">
        <v>6</v>
      </c>
      <c r="G783">
        <v>48</v>
      </c>
      <c r="H783" t="s">
        <v>22</v>
      </c>
      <c r="I783" t="s">
        <v>31</v>
      </c>
      <c r="J783">
        <v>8</v>
      </c>
      <c r="K783">
        <v>2026</v>
      </c>
      <c r="L783">
        <v>6</v>
      </c>
      <c r="M783">
        <v>16</v>
      </c>
      <c r="N783" t="s">
        <v>41</v>
      </c>
      <c r="O783" t="s">
        <v>13</v>
      </c>
      <c r="P783" t="s">
        <v>48</v>
      </c>
      <c r="Q783" t="s">
        <v>45</v>
      </c>
    </row>
    <row r="784" spans="1:17" x14ac:dyDescent="0.35">
      <c r="A784">
        <v>795</v>
      </c>
      <c r="B784">
        <v>6</v>
      </c>
      <c r="C784">
        <v>17</v>
      </c>
      <c r="D784">
        <v>6</v>
      </c>
      <c r="E784" s="1">
        <v>46222.770833333343</v>
      </c>
      <c r="F784">
        <v>5</v>
      </c>
      <c r="G784">
        <v>45</v>
      </c>
      <c r="H784" t="s">
        <v>22</v>
      </c>
      <c r="I784" t="s">
        <v>31</v>
      </c>
      <c r="J784">
        <v>9</v>
      </c>
      <c r="K784">
        <v>2026</v>
      </c>
      <c r="L784">
        <v>7</v>
      </c>
      <c r="M784">
        <v>18</v>
      </c>
      <c r="N784" t="s">
        <v>28</v>
      </c>
      <c r="O784" t="s">
        <v>24</v>
      </c>
      <c r="P784" t="s">
        <v>56</v>
      </c>
      <c r="Q784" t="s">
        <v>21</v>
      </c>
    </row>
    <row r="785" spans="1:17" x14ac:dyDescent="0.35">
      <c r="A785">
        <v>796</v>
      </c>
      <c r="B785">
        <v>19</v>
      </c>
      <c r="C785">
        <v>19</v>
      </c>
      <c r="D785">
        <v>5</v>
      </c>
      <c r="E785" s="1">
        <v>46364.729166666657</v>
      </c>
      <c r="F785">
        <v>5</v>
      </c>
      <c r="G785">
        <v>40</v>
      </c>
      <c r="H785" t="s">
        <v>22</v>
      </c>
      <c r="I785" t="s">
        <v>27</v>
      </c>
      <c r="J785">
        <v>8</v>
      </c>
      <c r="K785">
        <v>2026</v>
      </c>
      <c r="L785">
        <v>12</v>
      </c>
      <c r="M785">
        <v>17</v>
      </c>
      <c r="N785" t="s">
        <v>37</v>
      </c>
      <c r="O785" t="s">
        <v>13</v>
      </c>
      <c r="P785" t="s">
        <v>58</v>
      </c>
      <c r="Q785" t="s">
        <v>50</v>
      </c>
    </row>
    <row r="786" spans="1:17" x14ac:dyDescent="0.35">
      <c r="A786">
        <v>797</v>
      </c>
      <c r="B786">
        <v>17</v>
      </c>
      <c r="C786">
        <v>5</v>
      </c>
      <c r="D786">
        <v>2</v>
      </c>
      <c r="E786" s="1">
        <v>46261.916666666657</v>
      </c>
      <c r="F786">
        <v>4</v>
      </c>
      <c r="G786">
        <v>36</v>
      </c>
      <c r="H786" t="s">
        <v>22</v>
      </c>
      <c r="I786" t="s">
        <v>27</v>
      </c>
      <c r="J786">
        <v>9</v>
      </c>
      <c r="K786">
        <v>2026</v>
      </c>
      <c r="L786">
        <v>8</v>
      </c>
      <c r="M786">
        <v>22</v>
      </c>
      <c r="N786" t="s">
        <v>41</v>
      </c>
      <c r="O786" t="s">
        <v>13</v>
      </c>
      <c r="P786" t="s">
        <v>53</v>
      </c>
      <c r="Q786" t="s">
        <v>54</v>
      </c>
    </row>
    <row r="787" spans="1:17" x14ac:dyDescent="0.35">
      <c r="A787">
        <v>798</v>
      </c>
      <c r="B787">
        <v>1</v>
      </c>
      <c r="C787">
        <v>8</v>
      </c>
      <c r="D787">
        <v>2</v>
      </c>
      <c r="E787" s="1">
        <v>46220.979166666657</v>
      </c>
      <c r="F787">
        <v>4</v>
      </c>
      <c r="G787">
        <v>36</v>
      </c>
      <c r="H787" t="s">
        <v>22</v>
      </c>
      <c r="I787" t="s">
        <v>27</v>
      </c>
      <c r="J787">
        <v>9</v>
      </c>
      <c r="K787">
        <v>2026</v>
      </c>
      <c r="L787">
        <v>7</v>
      </c>
      <c r="M787">
        <v>23</v>
      </c>
      <c r="N787" t="s">
        <v>43</v>
      </c>
      <c r="O787" t="s">
        <v>13</v>
      </c>
      <c r="P787" t="s">
        <v>42</v>
      </c>
      <c r="Q787" t="s">
        <v>54</v>
      </c>
    </row>
    <row r="788" spans="1:17" x14ac:dyDescent="0.35">
      <c r="A788">
        <v>799</v>
      </c>
      <c r="B788">
        <v>4</v>
      </c>
      <c r="C788">
        <v>12</v>
      </c>
      <c r="D788">
        <v>3</v>
      </c>
      <c r="E788" s="1">
        <v>46140.604166666657</v>
      </c>
      <c r="F788">
        <v>6</v>
      </c>
      <c r="G788">
        <v>48</v>
      </c>
      <c r="H788" t="s">
        <v>22</v>
      </c>
      <c r="I788" t="s">
        <v>31</v>
      </c>
      <c r="J788">
        <v>8</v>
      </c>
      <c r="K788">
        <v>2026</v>
      </c>
      <c r="L788">
        <v>4</v>
      </c>
      <c r="M788">
        <v>14</v>
      </c>
      <c r="N788" t="s">
        <v>37</v>
      </c>
      <c r="O788" t="s">
        <v>13</v>
      </c>
      <c r="P788" t="s">
        <v>57</v>
      </c>
      <c r="Q788" t="s">
        <v>45</v>
      </c>
    </row>
    <row r="789" spans="1:17" x14ac:dyDescent="0.35">
      <c r="A789">
        <v>800</v>
      </c>
      <c r="B789">
        <v>9</v>
      </c>
      <c r="C789">
        <v>13</v>
      </c>
      <c r="D789">
        <v>5</v>
      </c>
      <c r="E789" s="1">
        <v>46148.729166666657</v>
      </c>
      <c r="F789">
        <v>5</v>
      </c>
      <c r="G789">
        <v>40</v>
      </c>
      <c r="H789" t="s">
        <v>17</v>
      </c>
      <c r="I789" t="s">
        <v>27</v>
      </c>
      <c r="J789">
        <v>8</v>
      </c>
      <c r="K789">
        <v>2026</v>
      </c>
      <c r="L789">
        <v>5</v>
      </c>
      <c r="M789">
        <v>17</v>
      </c>
      <c r="N789" t="s">
        <v>19</v>
      </c>
      <c r="O789" t="s">
        <v>13</v>
      </c>
      <c r="P789" t="s">
        <v>49</v>
      </c>
      <c r="Q789" t="s">
        <v>50</v>
      </c>
    </row>
    <row r="790" spans="1:17" x14ac:dyDescent="0.35">
      <c r="A790">
        <v>801</v>
      </c>
      <c r="B790">
        <v>15</v>
      </c>
      <c r="C790">
        <v>9</v>
      </c>
      <c r="D790">
        <v>5</v>
      </c>
      <c r="E790" s="1">
        <v>46045.833333333343</v>
      </c>
      <c r="F790">
        <v>6</v>
      </c>
      <c r="G790">
        <v>48</v>
      </c>
      <c r="H790" t="s">
        <v>17</v>
      </c>
      <c r="I790" t="s">
        <v>18</v>
      </c>
      <c r="J790">
        <v>8</v>
      </c>
      <c r="K790">
        <v>2026</v>
      </c>
      <c r="L790">
        <v>1</v>
      </c>
      <c r="M790">
        <v>20</v>
      </c>
      <c r="N790" t="s">
        <v>43</v>
      </c>
      <c r="O790" t="s">
        <v>13</v>
      </c>
      <c r="P790" t="s">
        <v>48</v>
      </c>
      <c r="Q790" t="s">
        <v>50</v>
      </c>
    </row>
    <row r="791" spans="1:17" x14ac:dyDescent="0.35">
      <c r="A791">
        <v>802</v>
      </c>
      <c r="B791">
        <v>17</v>
      </c>
      <c r="C791">
        <v>16</v>
      </c>
      <c r="D791">
        <v>1</v>
      </c>
      <c r="E791" s="1">
        <v>46164.666666666657</v>
      </c>
      <c r="F791">
        <v>1</v>
      </c>
      <c r="G791">
        <v>8</v>
      </c>
      <c r="H791" t="s">
        <v>17</v>
      </c>
      <c r="I791" t="s">
        <v>27</v>
      </c>
      <c r="J791">
        <v>8</v>
      </c>
      <c r="K791">
        <v>2026</v>
      </c>
      <c r="L791">
        <v>5</v>
      </c>
      <c r="M791">
        <v>16</v>
      </c>
      <c r="N791" t="s">
        <v>43</v>
      </c>
      <c r="O791" t="s">
        <v>13</v>
      </c>
      <c r="P791" t="s">
        <v>51</v>
      </c>
      <c r="Q791" t="s">
        <v>40</v>
      </c>
    </row>
    <row r="792" spans="1:17" x14ac:dyDescent="0.35">
      <c r="A792">
        <v>803</v>
      </c>
      <c r="B792">
        <v>2</v>
      </c>
      <c r="C792">
        <v>5</v>
      </c>
      <c r="D792">
        <v>9</v>
      </c>
      <c r="E792" s="1">
        <v>46278.875</v>
      </c>
      <c r="F792">
        <v>3</v>
      </c>
      <c r="G792">
        <v>30</v>
      </c>
      <c r="H792" t="s">
        <v>22</v>
      </c>
      <c r="I792" t="s">
        <v>27</v>
      </c>
      <c r="J792">
        <v>10</v>
      </c>
      <c r="K792">
        <v>2026</v>
      </c>
      <c r="L792">
        <v>9</v>
      </c>
      <c r="M792">
        <v>21</v>
      </c>
      <c r="N792" t="s">
        <v>28</v>
      </c>
      <c r="O792" t="s">
        <v>24</v>
      </c>
      <c r="P792" t="s">
        <v>53</v>
      </c>
      <c r="Q792" t="s">
        <v>30</v>
      </c>
    </row>
    <row r="793" spans="1:17" x14ac:dyDescent="0.35">
      <c r="A793">
        <v>804</v>
      </c>
      <c r="B793">
        <v>13</v>
      </c>
      <c r="C793">
        <v>6</v>
      </c>
      <c r="D793">
        <v>7</v>
      </c>
      <c r="E793" s="1">
        <v>46094.875</v>
      </c>
      <c r="F793">
        <v>2</v>
      </c>
      <c r="G793">
        <v>18</v>
      </c>
      <c r="H793" t="s">
        <v>22</v>
      </c>
      <c r="I793" t="s">
        <v>31</v>
      </c>
      <c r="J793">
        <v>9</v>
      </c>
      <c r="K793">
        <v>2026</v>
      </c>
      <c r="L793">
        <v>3</v>
      </c>
      <c r="M793">
        <v>21</v>
      </c>
      <c r="N793" t="s">
        <v>43</v>
      </c>
      <c r="O793" t="s">
        <v>13</v>
      </c>
      <c r="P793" t="s">
        <v>52</v>
      </c>
      <c r="Q793" t="s">
        <v>35</v>
      </c>
    </row>
    <row r="794" spans="1:17" x14ac:dyDescent="0.35">
      <c r="A794">
        <v>805</v>
      </c>
      <c r="B794">
        <v>10</v>
      </c>
      <c r="C794">
        <v>17</v>
      </c>
      <c r="D794">
        <v>9</v>
      </c>
      <c r="E794" s="1">
        <v>46332.895833333343</v>
      </c>
      <c r="F794">
        <v>6</v>
      </c>
      <c r="G794">
        <v>54</v>
      </c>
      <c r="H794" t="s">
        <v>22</v>
      </c>
      <c r="I794" t="s">
        <v>31</v>
      </c>
      <c r="J794">
        <v>9</v>
      </c>
      <c r="K794">
        <v>2026</v>
      </c>
      <c r="L794">
        <v>11</v>
      </c>
      <c r="M794">
        <v>21</v>
      </c>
      <c r="N794" t="s">
        <v>43</v>
      </c>
      <c r="O794" t="s">
        <v>13</v>
      </c>
      <c r="P794" t="s">
        <v>56</v>
      </c>
      <c r="Q794" t="s">
        <v>30</v>
      </c>
    </row>
    <row r="795" spans="1:17" x14ac:dyDescent="0.35">
      <c r="A795">
        <v>806</v>
      </c>
      <c r="B795">
        <v>11</v>
      </c>
      <c r="C795">
        <v>14</v>
      </c>
      <c r="D795">
        <v>6</v>
      </c>
      <c r="E795" s="1">
        <v>46342.916666666657</v>
      </c>
      <c r="F795">
        <v>4</v>
      </c>
      <c r="G795">
        <v>36</v>
      </c>
      <c r="H795" t="s">
        <v>22</v>
      </c>
      <c r="I795" t="s">
        <v>18</v>
      </c>
      <c r="J795">
        <v>9</v>
      </c>
      <c r="K795">
        <v>2026</v>
      </c>
      <c r="L795">
        <v>11</v>
      </c>
      <c r="M795">
        <v>22</v>
      </c>
      <c r="N795" t="s">
        <v>33</v>
      </c>
      <c r="O795" t="s">
        <v>13</v>
      </c>
      <c r="P795" t="s">
        <v>29</v>
      </c>
      <c r="Q795" t="s">
        <v>21</v>
      </c>
    </row>
    <row r="796" spans="1:17" x14ac:dyDescent="0.35">
      <c r="A796">
        <v>807</v>
      </c>
      <c r="B796">
        <v>16</v>
      </c>
      <c r="C796">
        <v>16</v>
      </c>
      <c r="D796">
        <v>9</v>
      </c>
      <c r="E796" s="1">
        <v>46347.625</v>
      </c>
      <c r="F796">
        <v>5</v>
      </c>
      <c r="G796">
        <v>45</v>
      </c>
      <c r="H796" t="s">
        <v>22</v>
      </c>
      <c r="I796" t="s">
        <v>31</v>
      </c>
      <c r="J796">
        <v>9</v>
      </c>
      <c r="K796">
        <v>2026</v>
      </c>
      <c r="L796">
        <v>11</v>
      </c>
      <c r="M796">
        <v>15</v>
      </c>
      <c r="N796" t="s">
        <v>23</v>
      </c>
      <c r="O796" t="s">
        <v>24</v>
      </c>
      <c r="P796" t="s">
        <v>51</v>
      </c>
      <c r="Q796" t="s">
        <v>30</v>
      </c>
    </row>
    <row r="797" spans="1:17" x14ac:dyDescent="0.35">
      <c r="A797">
        <v>808</v>
      </c>
      <c r="B797">
        <v>5</v>
      </c>
      <c r="C797">
        <v>19</v>
      </c>
      <c r="D797">
        <v>10</v>
      </c>
      <c r="E797" s="1">
        <v>46339.645833333343</v>
      </c>
      <c r="F797">
        <v>4</v>
      </c>
      <c r="G797">
        <v>32</v>
      </c>
      <c r="H797" t="s">
        <v>22</v>
      </c>
      <c r="I797" t="s">
        <v>18</v>
      </c>
      <c r="J797">
        <v>8</v>
      </c>
      <c r="K797">
        <v>2026</v>
      </c>
      <c r="L797">
        <v>11</v>
      </c>
      <c r="M797">
        <v>15</v>
      </c>
      <c r="N797" t="s">
        <v>43</v>
      </c>
      <c r="O797" t="s">
        <v>13</v>
      </c>
      <c r="P797" t="s">
        <v>58</v>
      </c>
      <c r="Q797" t="s">
        <v>32</v>
      </c>
    </row>
    <row r="798" spans="1:17" x14ac:dyDescent="0.35">
      <c r="A798">
        <v>809</v>
      </c>
      <c r="B798">
        <v>20</v>
      </c>
      <c r="C798">
        <v>2</v>
      </c>
      <c r="D798">
        <v>4</v>
      </c>
      <c r="E798" s="1">
        <v>46082.979166666657</v>
      </c>
      <c r="F798">
        <v>3</v>
      </c>
      <c r="G798">
        <v>30</v>
      </c>
      <c r="H798" t="s">
        <v>22</v>
      </c>
      <c r="I798" t="s">
        <v>18</v>
      </c>
      <c r="J798">
        <v>10</v>
      </c>
      <c r="K798">
        <v>2026</v>
      </c>
      <c r="L798">
        <v>3</v>
      </c>
      <c r="M798">
        <v>23</v>
      </c>
      <c r="N798" t="s">
        <v>28</v>
      </c>
      <c r="O798" t="s">
        <v>24</v>
      </c>
      <c r="P798" t="s">
        <v>44</v>
      </c>
      <c r="Q798" t="s">
        <v>26</v>
      </c>
    </row>
    <row r="799" spans="1:17" x14ac:dyDescent="0.35">
      <c r="A799">
        <v>810</v>
      </c>
      <c r="B799">
        <v>20</v>
      </c>
      <c r="C799">
        <v>15</v>
      </c>
      <c r="D799">
        <v>1</v>
      </c>
      <c r="E799" s="1">
        <v>46108.854166666657</v>
      </c>
      <c r="F799">
        <v>4</v>
      </c>
      <c r="G799">
        <v>32</v>
      </c>
      <c r="H799" t="s">
        <v>22</v>
      </c>
      <c r="I799" t="s">
        <v>18</v>
      </c>
      <c r="J799">
        <v>8</v>
      </c>
      <c r="K799">
        <v>2026</v>
      </c>
      <c r="L799">
        <v>3</v>
      </c>
      <c r="M799">
        <v>20</v>
      </c>
      <c r="N799" t="s">
        <v>43</v>
      </c>
      <c r="O799" t="s">
        <v>13</v>
      </c>
      <c r="P799" t="s">
        <v>38</v>
      </c>
      <c r="Q799" t="s">
        <v>40</v>
      </c>
    </row>
    <row r="800" spans="1:17" x14ac:dyDescent="0.35">
      <c r="A800">
        <v>811</v>
      </c>
      <c r="B800">
        <v>15</v>
      </c>
      <c r="C800">
        <v>5</v>
      </c>
      <c r="D800">
        <v>7</v>
      </c>
      <c r="E800" s="1">
        <v>46051.958333333343</v>
      </c>
      <c r="F800">
        <v>2</v>
      </c>
      <c r="G800">
        <v>18</v>
      </c>
      <c r="H800" t="s">
        <v>22</v>
      </c>
      <c r="I800" t="s">
        <v>27</v>
      </c>
      <c r="J800">
        <v>9</v>
      </c>
      <c r="K800">
        <v>2026</v>
      </c>
      <c r="L800">
        <v>1</v>
      </c>
      <c r="M800">
        <v>23</v>
      </c>
      <c r="N800" t="s">
        <v>41</v>
      </c>
      <c r="O800" t="s">
        <v>13</v>
      </c>
      <c r="P800" t="s">
        <v>53</v>
      </c>
      <c r="Q800" t="s">
        <v>35</v>
      </c>
    </row>
    <row r="801" spans="1:17" x14ac:dyDescent="0.35">
      <c r="A801">
        <v>812</v>
      </c>
      <c r="B801">
        <v>11</v>
      </c>
      <c r="C801">
        <v>9</v>
      </c>
      <c r="D801">
        <v>3</v>
      </c>
      <c r="E801" s="1">
        <v>46178.854166666657</v>
      </c>
      <c r="F801">
        <v>2</v>
      </c>
      <c r="G801">
        <v>16</v>
      </c>
      <c r="H801" t="s">
        <v>22</v>
      </c>
      <c r="I801" t="s">
        <v>18</v>
      </c>
      <c r="J801">
        <v>8</v>
      </c>
      <c r="K801">
        <v>2026</v>
      </c>
      <c r="L801">
        <v>6</v>
      </c>
      <c r="M801">
        <v>20</v>
      </c>
      <c r="N801" t="s">
        <v>43</v>
      </c>
      <c r="O801" t="s">
        <v>13</v>
      </c>
      <c r="P801" t="s">
        <v>48</v>
      </c>
      <c r="Q801" t="s">
        <v>45</v>
      </c>
    </row>
    <row r="802" spans="1:17" x14ac:dyDescent="0.35">
      <c r="A802">
        <v>813</v>
      </c>
      <c r="B802">
        <v>7</v>
      </c>
      <c r="C802">
        <v>6</v>
      </c>
      <c r="D802">
        <v>8</v>
      </c>
      <c r="E802" s="1">
        <v>46385.666666666657</v>
      </c>
      <c r="F802">
        <v>1</v>
      </c>
      <c r="G802">
        <v>8</v>
      </c>
      <c r="H802" t="s">
        <v>22</v>
      </c>
      <c r="I802" t="s">
        <v>18</v>
      </c>
      <c r="J802">
        <v>8</v>
      </c>
      <c r="K802">
        <v>2026</v>
      </c>
      <c r="L802">
        <v>12</v>
      </c>
      <c r="M802">
        <v>16</v>
      </c>
      <c r="N802" t="s">
        <v>37</v>
      </c>
      <c r="O802" t="s">
        <v>13</v>
      </c>
      <c r="P802" t="s">
        <v>52</v>
      </c>
      <c r="Q802" t="s">
        <v>46</v>
      </c>
    </row>
    <row r="803" spans="1:17" x14ac:dyDescent="0.35">
      <c r="A803">
        <v>814</v>
      </c>
      <c r="B803">
        <v>6</v>
      </c>
      <c r="C803">
        <v>8</v>
      </c>
      <c r="D803">
        <v>10</v>
      </c>
      <c r="E803" s="1">
        <v>46216.895833333343</v>
      </c>
      <c r="F803">
        <v>2</v>
      </c>
      <c r="G803">
        <v>18</v>
      </c>
      <c r="H803" t="s">
        <v>22</v>
      </c>
      <c r="I803" t="s">
        <v>27</v>
      </c>
      <c r="J803">
        <v>9</v>
      </c>
      <c r="K803">
        <v>2026</v>
      </c>
      <c r="L803">
        <v>7</v>
      </c>
      <c r="M803">
        <v>21</v>
      </c>
      <c r="N803" t="s">
        <v>33</v>
      </c>
      <c r="O803" t="s">
        <v>13</v>
      </c>
      <c r="P803" t="s">
        <v>42</v>
      </c>
      <c r="Q803" t="s">
        <v>32</v>
      </c>
    </row>
    <row r="804" spans="1:17" x14ac:dyDescent="0.35">
      <c r="A804">
        <v>815</v>
      </c>
      <c r="B804">
        <v>1</v>
      </c>
      <c r="C804">
        <v>9</v>
      </c>
      <c r="D804">
        <v>10</v>
      </c>
      <c r="E804" s="1">
        <v>46257.604166666657</v>
      </c>
      <c r="F804">
        <v>3</v>
      </c>
      <c r="G804">
        <v>27</v>
      </c>
      <c r="H804" t="s">
        <v>22</v>
      </c>
      <c r="I804" t="s">
        <v>27</v>
      </c>
      <c r="J804">
        <v>9</v>
      </c>
      <c r="K804">
        <v>2026</v>
      </c>
      <c r="L804">
        <v>8</v>
      </c>
      <c r="M804">
        <v>14</v>
      </c>
      <c r="N804" t="s">
        <v>28</v>
      </c>
      <c r="O804" t="s">
        <v>24</v>
      </c>
      <c r="P804" t="s">
        <v>48</v>
      </c>
      <c r="Q804" t="s">
        <v>32</v>
      </c>
    </row>
    <row r="805" spans="1:17" x14ac:dyDescent="0.35">
      <c r="A805">
        <v>816</v>
      </c>
      <c r="B805">
        <v>18</v>
      </c>
      <c r="C805">
        <v>15</v>
      </c>
      <c r="D805">
        <v>9</v>
      </c>
      <c r="E805" s="1">
        <v>46126.854166666657</v>
      </c>
      <c r="F805">
        <v>1</v>
      </c>
      <c r="G805">
        <v>8</v>
      </c>
      <c r="H805" t="s">
        <v>22</v>
      </c>
      <c r="I805" t="s">
        <v>18</v>
      </c>
      <c r="J805">
        <v>8</v>
      </c>
      <c r="K805">
        <v>2026</v>
      </c>
      <c r="L805">
        <v>4</v>
      </c>
      <c r="M805">
        <v>20</v>
      </c>
      <c r="N805" t="s">
        <v>37</v>
      </c>
      <c r="O805" t="s">
        <v>13</v>
      </c>
      <c r="P805" t="s">
        <v>38</v>
      </c>
      <c r="Q805" t="s">
        <v>30</v>
      </c>
    </row>
    <row r="806" spans="1:17" x14ac:dyDescent="0.35">
      <c r="A806">
        <v>817</v>
      </c>
      <c r="B806">
        <v>17</v>
      </c>
      <c r="C806">
        <v>4</v>
      </c>
      <c r="D806">
        <v>4</v>
      </c>
      <c r="E806" s="1">
        <v>46215.75</v>
      </c>
      <c r="F806">
        <v>4</v>
      </c>
      <c r="G806">
        <v>36</v>
      </c>
      <c r="H806" t="s">
        <v>22</v>
      </c>
      <c r="I806" t="s">
        <v>27</v>
      </c>
      <c r="J806">
        <v>9</v>
      </c>
      <c r="K806">
        <v>2026</v>
      </c>
      <c r="L806">
        <v>7</v>
      </c>
      <c r="M806">
        <v>18</v>
      </c>
      <c r="N806" t="s">
        <v>28</v>
      </c>
      <c r="O806" t="s">
        <v>24</v>
      </c>
      <c r="P806" t="s">
        <v>55</v>
      </c>
      <c r="Q806" t="s">
        <v>26</v>
      </c>
    </row>
    <row r="807" spans="1:17" x14ac:dyDescent="0.35">
      <c r="A807">
        <v>818</v>
      </c>
      <c r="B807">
        <v>10</v>
      </c>
      <c r="C807">
        <v>19</v>
      </c>
      <c r="D807">
        <v>6</v>
      </c>
      <c r="E807" s="1">
        <v>46334.75</v>
      </c>
      <c r="F807">
        <v>3</v>
      </c>
      <c r="G807">
        <v>27</v>
      </c>
      <c r="H807" t="s">
        <v>22</v>
      </c>
      <c r="I807" t="s">
        <v>31</v>
      </c>
      <c r="J807">
        <v>9</v>
      </c>
      <c r="K807">
        <v>2026</v>
      </c>
      <c r="L807">
        <v>11</v>
      </c>
      <c r="M807">
        <v>18</v>
      </c>
      <c r="N807" t="s">
        <v>28</v>
      </c>
      <c r="O807" t="s">
        <v>24</v>
      </c>
      <c r="P807" t="s">
        <v>58</v>
      </c>
      <c r="Q807" t="s">
        <v>21</v>
      </c>
    </row>
    <row r="808" spans="1:17" x14ac:dyDescent="0.35">
      <c r="A808">
        <v>819</v>
      </c>
      <c r="B808">
        <v>3</v>
      </c>
      <c r="C808">
        <v>17</v>
      </c>
      <c r="D808">
        <v>9</v>
      </c>
      <c r="E808" s="1">
        <v>46121.8125</v>
      </c>
      <c r="F808">
        <v>2</v>
      </c>
      <c r="G808">
        <v>16</v>
      </c>
      <c r="H808" t="s">
        <v>22</v>
      </c>
      <c r="I808" t="s">
        <v>27</v>
      </c>
      <c r="J808">
        <v>8</v>
      </c>
      <c r="K808">
        <v>2026</v>
      </c>
      <c r="L808">
        <v>4</v>
      </c>
      <c r="M808">
        <v>19</v>
      </c>
      <c r="N808" t="s">
        <v>41</v>
      </c>
      <c r="O808" t="s">
        <v>13</v>
      </c>
      <c r="P808" t="s">
        <v>56</v>
      </c>
      <c r="Q808" t="s">
        <v>30</v>
      </c>
    </row>
    <row r="809" spans="1:17" x14ac:dyDescent="0.35">
      <c r="A809">
        <v>820</v>
      </c>
      <c r="B809">
        <v>18</v>
      </c>
      <c r="C809">
        <v>11</v>
      </c>
      <c r="D809">
        <v>6</v>
      </c>
      <c r="E809" s="1">
        <v>46320.75</v>
      </c>
      <c r="F809">
        <v>2</v>
      </c>
      <c r="G809">
        <v>18</v>
      </c>
      <c r="H809" t="s">
        <v>17</v>
      </c>
      <c r="I809" t="s">
        <v>27</v>
      </c>
      <c r="J809">
        <v>9</v>
      </c>
      <c r="K809">
        <v>2026</v>
      </c>
      <c r="L809">
        <v>10</v>
      </c>
      <c r="M809">
        <v>18</v>
      </c>
      <c r="N809" t="s">
        <v>28</v>
      </c>
      <c r="O809" t="s">
        <v>24</v>
      </c>
      <c r="P809" t="s">
        <v>59</v>
      </c>
      <c r="Q809" t="s">
        <v>21</v>
      </c>
    </row>
    <row r="810" spans="1:17" x14ac:dyDescent="0.35">
      <c r="A810">
        <v>821</v>
      </c>
      <c r="B810">
        <v>5</v>
      </c>
      <c r="C810">
        <v>10</v>
      </c>
      <c r="D810">
        <v>1</v>
      </c>
      <c r="E810" s="1">
        <v>46276.645833333343</v>
      </c>
      <c r="F810">
        <v>2</v>
      </c>
      <c r="G810">
        <v>16</v>
      </c>
      <c r="H810" t="s">
        <v>22</v>
      </c>
      <c r="I810" t="s">
        <v>18</v>
      </c>
      <c r="J810">
        <v>8</v>
      </c>
      <c r="K810">
        <v>2026</v>
      </c>
      <c r="L810">
        <v>9</v>
      </c>
      <c r="M810">
        <v>15</v>
      </c>
      <c r="N810" t="s">
        <v>43</v>
      </c>
      <c r="O810" t="s">
        <v>13</v>
      </c>
      <c r="P810" t="s">
        <v>25</v>
      </c>
      <c r="Q810" t="s">
        <v>40</v>
      </c>
    </row>
    <row r="811" spans="1:17" x14ac:dyDescent="0.35">
      <c r="A811">
        <v>822</v>
      </c>
      <c r="B811">
        <v>7</v>
      </c>
      <c r="C811">
        <v>1</v>
      </c>
      <c r="D811">
        <v>1</v>
      </c>
      <c r="E811" s="1">
        <v>46137.916666666657</v>
      </c>
      <c r="F811">
        <v>6</v>
      </c>
      <c r="G811">
        <v>60</v>
      </c>
      <c r="H811" t="s">
        <v>22</v>
      </c>
      <c r="I811" t="s">
        <v>18</v>
      </c>
      <c r="J811">
        <v>10</v>
      </c>
      <c r="K811">
        <v>2026</v>
      </c>
      <c r="L811">
        <v>4</v>
      </c>
      <c r="M811">
        <v>22</v>
      </c>
      <c r="N811" t="s">
        <v>23</v>
      </c>
      <c r="O811" t="s">
        <v>24</v>
      </c>
      <c r="P811" t="s">
        <v>39</v>
      </c>
      <c r="Q811" t="s">
        <v>40</v>
      </c>
    </row>
    <row r="812" spans="1:17" x14ac:dyDescent="0.35">
      <c r="A812">
        <v>823</v>
      </c>
      <c r="B812">
        <v>9</v>
      </c>
      <c r="C812">
        <v>6</v>
      </c>
      <c r="D812">
        <v>7</v>
      </c>
      <c r="E812" s="1">
        <v>46046.833333333343</v>
      </c>
      <c r="F812">
        <v>2</v>
      </c>
      <c r="G812">
        <v>18</v>
      </c>
      <c r="H812" t="s">
        <v>22</v>
      </c>
      <c r="I812" t="s">
        <v>18</v>
      </c>
      <c r="J812">
        <v>9</v>
      </c>
      <c r="K812">
        <v>2026</v>
      </c>
      <c r="L812">
        <v>1</v>
      </c>
      <c r="M812">
        <v>20</v>
      </c>
      <c r="N812" t="s">
        <v>23</v>
      </c>
      <c r="O812" t="s">
        <v>24</v>
      </c>
      <c r="P812" t="s">
        <v>52</v>
      </c>
      <c r="Q812" t="s">
        <v>35</v>
      </c>
    </row>
    <row r="813" spans="1:17" x14ac:dyDescent="0.35">
      <c r="A813">
        <v>824</v>
      </c>
      <c r="B813">
        <v>11</v>
      </c>
      <c r="C813">
        <v>16</v>
      </c>
      <c r="D813">
        <v>2</v>
      </c>
      <c r="E813" s="1">
        <v>46160.833333333343</v>
      </c>
      <c r="F813">
        <v>2</v>
      </c>
      <c r="G813">
        <v>16</v>
      </c>
      <c r="H813" t="s">
        <v>22</v>
      </c>
      <c r="I813" t="s">
        <v>31</v>
      </c>
      <c r="J813">
        <v>8</v>
      </c>
      <c r="K813">
        <v>2026</v>
      </c>
      <c r="L813">
        <v>5</v>
      </c>
      <c r="M813">
        <v>20</v>
      </c>
      <c r="N813" t="s">
        <v>33</v>
      </c>
      <c r="O813" t="s">
        <v>13</v>
      </c>
      <c r="P813" t="s">
        <v>51</v>
      </c>
      <c r="Q813" t="s">
        <v>54</v>
      </c>
    </row>
    <row r="814" spans="1:17" x14ac:dyDescent="0.35">
      <c r="A814">
        <v>825</v>
      </c>
      <c r="B814">
        <v>5</v>
      </c>
      <c r="C814">
        <v>18</v>
      </c>
      <c r="D814">
        <v>5</v>
      </c>
      <c r="E814" s="1">
        <v>46023.729166666657</v>
      </c>
      <c r="F814">
        <v>4</v>
      </c>
      <c r="G814">
        <v>32</v>
      </c>
      <c r="H814" t="s">
        <v>22</v>
      </c>
      <c r="I814" t="s">
        <v>31</v>
      </c>
      <c r="J814">
        <v>8</v>
      </c>
      <c r="K814">
        <v>2026</v>
      </c>
      <c r="L814">
        <v>1</v>
      </c>
      <c r="M814">
        <v>17</v>
      </c>
      <c r="N814" t="s">
        <v>41</v>
      </c>
      <c r="O814" t="s">
        <v>13</v>
      </c>
      <c r="P814" t="s">
        <v>47</v>
      </c>
      <c r="Q814" t="s">
        <v>50</v>
      </c>
    </row>
    <row r="815" spans="1:17" x14ac:dyDescent="0.35">
      <c r="A815">
        <v>826</v>
      </c>
      <c r="B815">
        <v>19</v>
      </c>
      <c r="C815">
        <v>7</v>
      </c>
      <c r="D815">
        <v>10</v>
      </c>
      <c r="E815" s="1">
        <v>46125.729166666657</v>
      </c>
      <c r="F815">
        <v>6</v>
      </c>
      <c r="G815">
        <v>48</v>
      </c>
      <c r="H815" t="s">
        <v>22</v>
      </c>
      <c r="I815" t="s">
        <v>31</v>
      </c>
      <c r="J815">
        <v>8</v>
      </c>
      <c r="K815">
        <v>2026</v>
      </c>
      <c r="L815">
        <v>4</v>
      </c>
      <c r="M815">
        <v>17</v>
      </c>
      <c r="N815" t="s">
        <v>33</v>
      </c>
      <c r="O815" t="s">
        <v>13</v>
      </c>
      <c r="P815" t="s">
        <v>34</v>
      </c>
      <c r="Q815" t="s">
        <v>32</v>
      </c>
    </row>
    <row r="816" spans="1:17" x14ac:dyDescent="0.35">
      <c r="A816">
        <v>827</v>
      </c>
      <c r="B816">
        <v>17</v>
      </c>
      <c r="C816">
        <v>6</v>
      </c>
      <c r="D816">
        <v>4</v>
      </c>
      <c r="E816" s="1">
        <v>46166.833333333343</v>
      </c>
      <c r="F816">
        <v>5</v>
      </c>
      <c r="G816">
        <v>45</v>
      </c>
      <c r="H816" t="s">
        <v>17</v>
      </c>
      <c r="I816" t="s">
        <v>27</v>
      </c>
      <c r="J816">
        <v>9</v>
      </c>
      <c r="K816">
        <v>2026</v>
      </c>
      <c r="L816">
        <v>5</v>
      </c>
      <c r="M816">
        <v>20</v>
      </c>
      <c r="N816" t="s">
        <v>28</v>
      </c>
      <c r="O816" t="s">
        <v>24</v>
      </c>
      <c r="P816" t="s">
        <v>52</v>
      </c>
      <c r="Q816" t="s">
        <v>26</v>
      </c>
    </row>
    <row r="817" spans="1:17" x14ac:dyDescent="0.35">
      <c r="A817">
        <v>828</v>
      </c>
      <c r="B817">
        <v>3</v>
      </c>
      <c r="C817">
        <v>4</v>
      </c>
      <c r="D817">
        <v>8</v>
      </c>
      <c r="E817" s="1">
        <v>46040.625</v>
      </c>
      <c r="F817">
        <v>3</v>
      </c>
      <c r="G817">
        <v>27</v>
      </c>
      <c r="H817" t="s">
        <v>22</v>
      </c>
      <c r="I817" t="s">
        <v>27</v>
      </c>
      <c r="J817">
        <v>9</v>
      </c>
      <c r="K817">
        <v>2026</v>
      </c>
      <c r="L817">
        <v>1</v>
      </c>
      <c r="M817">
        <v>15</v>
      </c>
      <c r="N817" t="s">
        <v>28</v>
      </c>
      <c r="O817" t="s">
        <v>24</v>
      </c>
      <c r="P817" t="s">
        <v>55</v>
      </c>
      <c r="Q817" t="s">
        <v>46</v>
      </c>
    </row>
    <row r="818" spans="1:17" x14ac:dyDescent="0.35">
      <c r="A818">
        <v>829</v>
      </c>
      <c r="B818">
        <v>8</v>
      </c>
      <c r="C818">
        <v>11</v>
      </c>
      <c r="D818">
        <v>9</v>
      </c>
      <c r="E818" s="1">
        <v>46143.645833333343</v>
      </c>
      <c r="F818">
        <v>4</v>
      </c>
      <c r="G818">
        <v>32</v>
      </c>
      <c r="H818" t="s">
        <v>22</v>
      </c>
      <c r="I818" t="s">
        <v>27</v>
      </c>
      <c r="J818">
        <v>8</v>
      </c>
      <c r="K818">
        <v>2026</v>
      </c>
      <c r="L818">
        <v>5</v>
      </c>
      <c r="M818">
        <v>15</v>
      </c>
      <c r="N818" t="s">
        <v>43</v>
      </c>
      <c r="O818" t="s">
        <v>13</v>
      </c>
      <c r="P818" t="s">
        <v>59</v>
      </c>
      <c r="Q818" t="s">
        <v>30</v>
      </c>
    </row>
    <row r="819" spans="1:17" x14ac:dyDescent="0.35">
      <c r="A819">
        <v>830</v>
      </c>
      <c r="B819">
        <v>4</v>
      </c>
      <c r="C819">
        <v>9</v>
      </c>
      <c r="D819">
        <v>6</v>
      </c>
      <c r="E819" s="1">
        <v>46314.958333333343</v>
      </c>
      <c r="F819">
        <v>4</v>
      </c>
      <c r="G819">
        <v>36</v>
      </c>
      <c r="H819" t="s">
        <v>22</v>
      </c>
      <c r="I819" t="s">
        <v>18</v>
      </c>
      <c r="J819">
        <v>9</v>
      </c>
      <c r="K819">
        <v>2026</v>
      </c>
      <c r="L819">
        <v>10</v>
      </c>
      <c r="M819">
        <v>23</v>
      </c>
      <c r="N819" t="s">
        <v>33</v>
      </c>
      <c r="O819" t="s">
        <v>13</v>
      </c>
      <c r="P819" t="s">
        <v>48</v>
      </c>
      <c r="Q819" t="s">
        <v>21</v>
      </c>
    </row>
    <row r="820" spans="1:17" x14ac:dyDescent="0.35">
      <c r="A820">
        <v>831</v>
      </c>
      <c r="B820">
        <v>2</v>
      </c>
      <c r="C820">
        <v>14</v>
      </c>
      <c r="D820">
        <v>2</v>
      </c>
      <c r="E820" s="1">
        <v>46327.666666666657</v>
      </c>
      <c r="F820">
        <v>4</v>
      </c>
      <c r="G820">
        <v>36</v>
      </c>
      <c r="H820" t="s">
        <v>22</v>
      </c>
      <c r="I820" t="s">
        <v>31</v>
      </c>
      <c r="J820">
        <v>9</v>
      </c>
      <c r="K820">
        <v>2026</v>
      </c>
      <c r="L820">
        <v>11</v>
      </c>
      <c r="M820">
        <v>16</v>
      </c>
      <c r="N820" t="s">
        <v>28</v>
      </c>
      <c r="O820" t="s">
        <v>24</v>
      </c>
      <c r="P820" t="s">
        <v>29</v>
      </c>
      <c r="Q820" t="s">
        <v>54</v>
      </c>
    </row>
    <row r="821" spans="1:17" x14ac:dyDescent="0.35">
      <c r="A821">
        <v>832</v>
      </c>
      <c r="B821">
        <v>7</v>
      </c>
      <c r="C821">
        <v>8</v>
      </c>
      <c r="D821">
        <v>7</v>
      </c>
      <c r="E821" s="1">
        <v>46379.729166666657</v>
      </c>
      <c r="F821">
        <v>6</v>
      </c>
      <c r="G821">
        <v>48</v>
      </c>
      <c r="H821" t="s">
        <v>22</v>
      </c>
      <c r="I821" t="s">
        <v>18</v>
      </c>
      <c r="J821">
        <v>8</v>
      </c>
      <c r="K821">
        <v>2026</v>
      </c>
      <c r="L821">
        <v>12</v>
      </c>
      <c r="M821">
        <v>17</v>
      </c>
      <c r="N821" t="s">
        <v>19</v>
      </c>
      <c r="O821" t="s">
        <v>13</v>
      </c>
      <c r="P821" t="s">
        <v>42</v>
      </c>
      <c r="Q821" t="s">
        <v>35</v>
      </c>
    </row>
    <row r="822" spans="1:17" x14ac:dyDescent="0.35">
      <c r="A822">
        <v>833</v>
      </c>
      <c r="B822">
        <v>18</v>
      </c>
      <c r="C822">
        <v>13</v>
      </c>
      <c r="D822">
        <v>7</v>
      </c>
      <c r="E822" s="1">
        <v>46256.625</v>
      </c>
      <c r="F822">
        <v>4</v>
      </c>
      <c r="G822">
        <v>36</v>
      </c>
      <c r="H822" t="s">
        <v>22</v>
      </c>
      <c r="I822" t="s">
        <v>18</v>
      </c>
      <c r="J822">
        <v>9</v>
      </c>
      <c r="K822">
        <v>2026</v>
      </c>
      <c r="L822">
        <v>8</v>
      </c>
      <c r="M822">
        <v>15</v>
      </c>
      <c r="N822" t="s">
        <v>23</v>
      </c>
      <c r="O822" t="s">
        <v>24</v>
      </c>
      <c r="P822" t="s">
        <v>49</v>
      </c>
      <c r="Q822" t="s">
        <v>35</v>
      </c>
    </row>
    <row r="823" spans="1:17" x14ac:dyDescent="0.35">
      <c r="A823">
        <v>834</v>
      </c>
      <c r="B823">
        <v>5</v>
      </c>
      <c r="C823">
        <v>20</v>
      </c>
      <c r="D823">
        <v>10</v>
      </c>
      <c r="E823" s="1">
        <v>46356.604166666657</v>
      </c>
      <c r="F823">
        <v>2</v>
      </c>
      <c r="G823">
        <v>16</v>
      </c>
      <c r="H823" t="s">
        <v>22</v>
      </c>
      <c r="I823" t="s">
        <v>27</v>
      </c>
      <c r="J823">
        <v>8</v>
      </c>
      <c r="K823">
        <v>2026</v>
      </c>
      <c r="L823">
        <v>11</v>
      </c>
      <c r="M823">
        <v>14</v>
      </c>
      <c r="N823" t="s">
        <v>33</v>
      </c>
      <c r="O823" t="s">
        <v>13</v>
      </c>
      <c r="P823" t="s">
        <v>36</v>
      </c>
      <c r="Q823" t="s">
        <v>32</v>
      </c>
    </row>
    <row r="824" spans="1:17" x14ac:dyDescent="0.35">
      <c r="A824">
        <v>835</v>
      </c>
      <c r="B824">
        <v>9</v>
      </c>
      <c r="C824">
        <v>13</v>
      </c>
      <c r="D824">
        <v>10</v>
      </c>
      <c r="E824" s="1">
        <v>46249.770833333343</v>
      </c>
      <c r="F824">
        <v>6</v>
      </c>
      <c r="G824">
        <v>54</v>
      </c>
      <c r="H824" t="s">
        <v>22</v>
      </c>
      <c r="I824" t="s">
        <v>18</v>
      </c>
      <c r="J824">
        <v>9</v>
      </c>
      <c r="K824">
        <v>2026</v>
      </c>
      <c r="L824">
        <v>8</v>
      </c>
      <c r="M824">
        <v>18</v>
      </c>
      <c r="N824" t="s">
        <v>23</v>
      </c>
      <c r="O824" t="s">
        <v>24</v>
      </c>
      <c r="P824" t="s">
        <v>49</v>
      </c>
      <c r="Q824" t="s">
        <v>32</v>
      </c>
    </row>
    <row r="825" spans="1:17" x14ac:dyDescent="0.35">
      <c r="A825">
        <v>836</v>
      </c>
      <c r="B825">
        <v>10</v>
      </c>
      <c r="C825">
        <v>20</v>
      </c>
      <c r="D825">
        <v>8</v>
      </c>
      <c r="E825" s="1">
        <v>46023.979166666657</v>
      </c>
      <c r="F825">
        <v>2</v>
      </c>
      <c r="G825">
        <v>18</v>
      </c>
      <c r="H825" t="s">
        <v>22</v>
      </c>
      <c r="I825" t="s">
        <v>31</v>
      </c>
      <c r="J825">
        <v>9</v>
      </c>
      <c r="K825">
        <v>2026</v>
      </c>
      <c r="L825">
        <v>1</v>
      </c>
      <c r="M825">
        <v>23</v>
      </c>
      <c r="N825" t="s">
        <v>41</v>
      </c>
      <c r="O825" t="s">
        <v>13</v>
      </c>
      <c r="P825" t="s">
        <v>36</v>
      </c>
      <c r="Q825" t="s">
        <v>46</v>
      </c>
    </row>
    <row r="826" spans="1:17" x14ac:dyDescent="0.35">
      <c r="A826">
        <v>837</v>
      </c>
      <c r="B826">
        <v>12</v>
      </c>
      <c r="C826">
        <v>16</v>
      </c>
      <c r="D826">
        <v>2</v>
      </c>
      <c r="E826" s="1">
        <v>46348.791666666657</v>
      </c>
      <c r="F826">
        <v>2</v>
      </c>
      <c r="G826">
        <v>18</v>
      </c>
      <c r="H826" t="s">
        <v>22</v>
      </c>
      <c r="I826" t="s">
        <v>18</v>
      </c>
      <c r="J826">
        <v>9</v>
      </c>
      <c r="K826">
        <v>2026</v>
      </c>
      <c r="L826">
        <v>11</v>
      </c>
      <c r="M826">
        <v>19</v>
      </c>
      <c r="N826" t="s">
        <v>28</v>
      </c>
      <c r="O826" t="s">
        <v>24</v>
      </c>
      <c r="P826" t="s">
        <v>51</v>
      </c>
      <c r="Q826" t="s">
        <v>54</v>
      </c>
    </row>
    <row r="827" spans="1:17" x14ac:dyDescent="0.35">
      <c r="A827">
        <v>838</v>
      </c>
      <c r="B827">
        <v>17</v>
      </c>
      <c r="C827">
        <v>18</v>
      </c>
      <c r="D827">
        <v>4</v>
      </c>
      <c r="E827" s="1">
        <v>46057.770833333343</v>
      </c>
      <c r="F827">
        <v>4</v>
      </c>
      <c r="G827">
        <v>32</v>
      </c>
      <c r="H827" t="s">
        <v>17</v>
      </c>
      <c r="I827" t="s">
        <v>31</v>
      </c>
      <c r="J827">
        <v>8</v>
      </c>
      <c r="K827">
        <v>2026</v>
      </c>
      <c r="L827">
        <v>2</v>
      </c>
      <c r="M827">
        <v>18</v>
      </c>
      <c r="N827" t="s">
        <v>19</v>
      </c>
      <c r="O827" t="s">
        <v>13</v>
      </c>
      <c r="P827" t="s">
        <v>47</v>
      </c>
      <c r="Q827" t="s">
        <v>26</v>
      </c>
    </row>
    <row r="828" spans="1:17" x14ac:dyDescent="0.35">
      <c r="A828">
        <v>839</v>
      </c>
      <c r="B828">
        <v>1</v>
      </c>
      <c r="C828">
        <v>6</v>
      </c>
      <c r="D828">
        <v>10</v>
      </c>
      <c r="E828" s="1">
        <v>46280.770833333343</v>
      </c>
      <c r="F828">
        <v>4</v>
      </c>
      <c r="G828">
        <v>32</v>
      </c>
      <c r="H828" t="s">
        <v>22</v>
      </c>
      <c r="I828" t="s">
        <v>18</v>
      </c>
      <c r="J828">
        <v>8</v>
      </c>
      <c r="K828">
        <v>2026</v>
      </c>
      <c r="L828">
        <v>9</v>
      </c>
      <c r="M828">
        <v>18</v>
      </c>
      <c r="N828" t="s">
        <v>37</v>
      </c>
      <c r="O828" t="s">
        <v>13</v>
      </c>
      <c r="P828" t="s">
        <v>52</v>
      </c>
      <c r="Q828" t="s">
        <v>32</v>
      </c>
    </row>
    <row r="829" spans="1:17" x14ac:dyDescent="0.35">
      <c r="A829">
        <v>840</v>
      </c>
      <c r="B829">
        <v>2</v>
      </c>
      <c r="C829">
        <v>11</v>
      </c>
      <c r="D829">
        <v>10</v>
      </c>
      <c r="E829" s="1">
        <v>46197.9375</v>
      </c>
      <c r="F829">
        <v>4</v>
      </c>
      <c r="G829">
        <v>36</v>
      </c>
      <c r="H829" t="s">
        <v>22</v>
      </c>
      <c r="I829" t="s">
        <v>27</v>
      </c>
      <c r="J829">
        <v>9</v>
      </c>
      <c r="K829">
        <v>2026</v>
      </c>
      <c r="L829">
        <v>6</v>
      </c>
      <c r="M829">
        <v>22</v>
      </c>
      <c r="N829" t="s">
        <v>19</v>
      </c>
      <c r="O829" t="s">
        <v>13</v>
      </c>
      <c r="P829" t="s">
        <v>59</v>
      </c>
      <c r="Q829" t="s">
        <v>32</v>
      </c>
    </row>
    <row r="830" spans="1:17" x14ac:dyDescent="0.35">
      <c r="A830">
        <v>841</v>
      </c>
      <c r="B830">
        <v>17</v>
      </c>
      <c r="C830">
        <v>5</v>
      </c>
      <c r="D830">
        <v>1</v>
      </c>
      <c r="E830" s="1">
        <v>46334.8125</v>
      </c>
      <c r="F830">
        <v>2</v>
      </c>
      <c r="G830">
        <v>18</v>
      </c>
      <c r="H830" t="s">
        <v>22</v>
      </c>
      <c r="I830" t="s">
        <v>18</v>
      </c>
      <c r="J830">
        <v>9</v>
      </c>
      <c r="K830">
        <v>2026</v>
      </c>
      <c r="L830">
        <v>11</v>
      </c>
      <c r="M830">
        <v>19</v>
      </c>
      <c r="N830" t="s">
        <v>28</v>
      </c>
      <c r="O830" t="s">
        <v>24</v>
      </c>
      <c r="P830" t="s">
        <v>53</v>
      </c>
      <c r="Q830" t="s">
        <v>40</v>
      </c>
    </row>
    <row r="831" spans="1:17" x14ac:dyDescent="0.35">
      <c r="A831">
        <v>842</v>
      </c>
      <c r="B831">
        <v>3</v>
      </c>
      <c r="C831">
        <v>2</v>
      </c>
      <c r="D831">
        <v>8</v>
      </c>
      <c r="E831" s="1">
        <v>46376.604166666657</v>
      </c>
      <c r="F831">
        <v>3</v>
      </c>
      <c r="G831">
        <v>27</v>
      </c>
      <c r="H831" t="s">
        <v>22</v>
      </c>
      <c r="I831" t="s">
        <v>18</v>
      </c>
      <c r="J831">
        <v>9</v>
      </c>
      <c r="K831">
        <v>2026</v>
      </c>
      <c r="L831">
        <v>12</v>
      </c>
      <c r="M831">
        <v>14</v>
      </c>
      <c r="N831" t="s">
        <v>28</v>
      </c>
      <c r="O831" t="s">
        <v>24</v>
      </c>
      <c r="P831" t="s">
        <v>44</v>
      </c>
      <c r="Q831" t="s">
        <v>46</v>
      </c>
    </row>
    <row r="832" spans="1:17" x14ac:dyDescent="0.35">
      <c r="A832">
        <v>843</v>
      </c>
      <c r="B832">
        <v>4</v>
      </c>
      <c r="C832">
        <v>8</v>
      </c>
      <c r="D832">
        <v>6</v>
      </c>
      <c r="E832" s="1">
        <v>46063.8125</v>
      </c>
      <c r="F832">
        <v>2</v>
      </c>
      <c r="G832">
        <v>16</v>
      </c>
      <c r="H832" t="s">
        <v>22</v>
      </c>
      <c r="I832" t="s">
        <v>18</v>
      </c>
      <c r="J832">
        <v>8</v>
      </c>
      <c r="K832">
        <v>2026</v>
      </c>
      <c r="L832">
        <v>2</v>
      </c>
      <c r="M832">
        <v>19</v>
      </c>
      <c r="N832" t="s">
        <v>37</v>
      </c>
      <c r="O832" t="s">
        <v>13</v>
      </c>
      <c r="P832" t="s">
        <v>42</v>
      </c>
      <c r="Q832" t="s">
        <v>21</v>
      </c>
    </row>
    <row r="833" spans="1:17" x14ac:dyDescent="0.35">
      <c r="A833">
        <v>844</v>
      </c>
      <c r="B833">
        <v>9</v>
      </c>
      <c r="C833">
        <v>17</v>
      </c>
      <c r="D833">
        <v>3</v>
      </c>
      <c r="E833" s="1">
        <v>46179.770833333343</v>
      </c>
      <c r="F833">
        <v>1</v>
      </c>
      <c r="G833">
        <v>9</v>
      </c>
      <c r="H833" t="s">
        <v>22</v>
      </c>
      <c r="I833" t="s">
        <v>27</v>
      </c>
      <c r="J833">
        <v>9</v>
      </c>
      <c r="K833">
        <v>2026</v>
      </c>
      <c r="L833">
        <v>6</v>
      </c>
      <c r="M833">
        <v>18</v>
      </c>
      <c r="N833" t="s">
        <v>23</v>
      </c>
      <c r="O833" t="s">
        <v>24</v>
      </c>
      <c r="P833" t="s">
        <v>56</v>
      </c>
      <c r="Q833" t="s">
        <v>45</v>
      </c>
    </row>
    <row r="834" spans="1:17" x14ac:dyDescent="0.35">
      <c r="A834">
        <v>845</v>
      </c>
      <c r="B834">
        <v>9</v>
      </c>
      <c r="C834">
        <v>5</v>
      </c>
      <c r="D834">
        <v>6</v>
      </c>
      <c r="E834" s="1">
        <v>46176.583333333343</v>
      </c>
      <c r="F834">
        <v>6</v>
      </c>
      <c r="G834">
        <v>48</v>
      </c>
      <c r="H834" t="s">
        <v>22</v>
      </c>
      <c r="I834" t="s">
        <v>27</v>
      </c>
      <c r="J834">
        <v>8</v>
      </c>
      <c r="K834">
        <v>2026</v>
      </c>
      <c r="L834">
        <v>6</v>
      </c>
      <c r="M834">
        <v>14</v>
      </c>
      <c r="N834" t="s">
        <v>19</v>
      </c>
      <c r="O834" t="s">
        <v>13</v>
      </c>
      <c r="P834" t="s">
        <v>53</v>
      </c>
      <c r="Q834" t="s">
        <v>21</v>
      </c>
    </row>
    <row r="835" spans="1:17" x14ac:dyDescent="0.35">
      <c r="A835">
        <v>846</v>
      </c>
      <c r="B835">
        <v>13</v>
      </c>
      <c r="C835">
        <v>19</v>
      </c>
      <c r="D835">
        <v>6</v>
      </c>
      <c r="E835" s="1">
        <v>46284.8125</v>
      </c>
      <c r="F835">
        <v>1</v>
      </c>
      <c r="G835">
        <v>9</v>
      </c>
      <c r="H835" t="s">
        <v>22</v>
      </c>
      <c r="I835" t="s">
        <v>27</v>
      </c>
      <c r="J835">
        <v>9</v>
      </c>
      <c r="K835">
        <v>2026</v>
      </c>
      <c r="L835">
        <v>9</v>
      </c>
      <c r="M835">
        <v>19</v>
      </c>
      <c r="N835" t="s">
        <v>23</v>
      </c>
      <c r="O835" t="s">
        <v>24</v>
      </c>
      <c r="P835" t="s">
        <v>58</v>
      </c>
      <c r="Q835" t="s">
        <v>21</v>
      </c>
    </row>
    <row r="836" spans="1:17" x14ac:dyDescent="0.35">
      <c r="A836">
        <v>847</v>
      </c>
      <c r="B836">
        <v>11</v>
      </c>
      <c r="C836">
        <v>18</v>
      </c>
      <c r="D836">
        <v>4</v>
      </c>
      <c r="E836" s="1">
        <v>46380.791666666657</v>
      </c>
      <c r="F836">
        <v>6</v>
      </c>
      <c r="G836">
        <v>48</v>
      </c>
      <c r="H836" t="s">
        <v>22</v>
      </c>
      <c r="I836" t="s">
        <v>18</v>
      </c>
      <c r="J836">
        <v>8</v>
      </c>
      <c r="K836">
        <v>2026</v>
      </c>
      <c r="L836">
        <v>12</v>
      </c>
      <c r="M836">
        <v>19</v>
      </c>
      <c r="N836" t="s">
        <v>41</v>
      </c>
      <c r="O836" t="s">
        <v>13</v>
      </c>
      <c r="P836" t="s">
        <v>47</v>
      </c>
      <c r="Q836" t="s">
        <v>26</v>
      </c>
    </row>
    <row r="837" spans="1:17" x14ac:dyDescent="0.35">
      <c r="A837">
        <v>848</v>
      </c>
      <c r="B837">
        <v>7</v>
      </c>
      <c r="C837">
        <v>12</v>
      </c>
      <c r="D837">
        <v>9</v>
      </c>
      <c r="E837" s="1">
        <v>46035.791666666657</v>
      </c>
      <c r="F837">
        <v>5</v>
      </c>
      <c r="G837">
        <v>40</v>
      </c>
      <c r="H837" t="s">
        <v>22</v>
      </c>
      <c r="I837" t="s">
        <v>18</v>
      </c>
      <c r="J837">
        <v>8</v>
      </c>
      <c r="K837">
        <v>2026</v>
      </c>
      <c r="L837">
        <v>1</v>
      </c>
      <c r="M837">
        <v>19</v>
      </c>
      <c r="N837" t="s">
        <v>37</v>
      </c>
      <c r="O837" t="s">
        <v>13</v>
      </c>
      <c r="P837" t="s">
        <v>57</v>
      </c>
      <c r="Q837" t="s">
        <v>30</v>
      </c>
    </row>
    <row r="838" spans="1:17" x14ac:dyDescent="0.35">
      <c r="A838">
        <v>849</v>
      </c>
      <c r="B838">
        <v>2</v>
      </c>
      <c r="C838">
        <v>15</v>
      </c>
      <c r="D838">
        <v>3</v>
      </c>
      <c r="E838" s="1">
        <v>46264.625</v>
      </c>
      <c r="F838">
        <v>2</v>
      </c>
      <c r="G838">
        <v>18</v>
      </c>
      <c r="H838" t="s">
        <v>22</v>
      </c>
      <c r="I838" t="s">
        <v>18</v>
      </c>
      <c r="J838">
        <v>9</v>
      </c>
      <c r="K838">
        <v>2026</v>
      </c>
      <c r="L838">
        <v>8</v>
      </c>
      <c r="M838">
        <v>15</v>
      </c>
      <c r="N838" t="s">
        <v>28</v>
      </c>
      <c r="O838" t="s">
        <v>24</v>
      </c>
      <c r="P838" t="s">
        <v>38</v>
      </c>
      <c r="Q838" t="s">
        <v>45</v>
      </c>
    </row>
    <row r="839" spans="1:17" x14ac:dyDescent="0.35">
      <c r="A839">
        <v>850</v>
      </c>
      <c r="B839">
        <v>6</v>
      </c>
      <c r="C839">
        <v>1</v>
      </c>
      <c r="D839">
        <v>2</v>
      </c>
      <c r="E839" s="1">
        <v>46137.9375</v>
      </c>
      <c r="F839">
        <v>3</v>
      </c>
      <c r="G839">
        <v>30</v>
      </c>
      <c r="H839" t="s">
        <v>22</v>
      </c>
      <c r="I839" t="s">
        <v>27</v>
      </c>
      <c r="J839">
        <v>10</v>
      </c>
      <c r="K839">
        <v>2026</v>
      </c>
      <c r="L839">
        <v>4</v>
      </c>
      <c r="M839">
        <v>22</v>
      </c>
      <c r="N839" t="s">
        <v>23</v>
      </c>
      <c r="O839" t="s">
        <v>24</v>
      </c>
      <c r="P839" t="s">
        <v>39</v>
      </c>
      <c r="Q839" t="s">
        <v>54</v>
      </c>
    </row>
    <row r="840" spans="1:17" x14ac:dyDescent="0.35">
      <c r="A840">
        <v>851</v>
      </c>
      <c r="B840">
        <v>12</v>
      </c>
      <c r="C840">
        <v>14</v>
      </c>
      <c r="D840">
        <v>9</v>
      </c>
      <c r="E840" s="1">
        <v>46133.979166666657</v>
      </c>
      <c r="F840">
        <v>5</v>
      </c>
      <c r="G840">
        <v>45</v>
      </c>
      <c r="H840" t="s">
        <v>22</v>
      </c>
      <c r="I840" t="s">
        <v>31</v>
      </c>
      <c r="J840">
        <v>9</v>
      </c>
      <c r="K840">
        <v>2026</v>
      </c>
      <c r="L840">
        <v>4</v>
      </c>
      <c r="M840">
        <v>23</v>
      </c>
      <c r="N840" t="s">
        <v>37</v>
      </c>
      <c r="O840" t="s">
        <v>13</v>
      </c>
      <c r="P840" t="s">
        <v>29</v>
      </c>
      <c r="Q840" t="s">
        <v>30</v>
      </c>
    </row>
    <row r="841" spans="1:17" x14ac:dyDescent="0.35">
      <c r="A841">
        <v>852</v>
      </c>
      <c r="B841">
        <v>17</v>
      </c>
      <c r="C841">
        <v>3</v>
      </c>
      <c r="D841">
        <v>4</v>
      </c>
      <c r="E841" s="1">
        <v>46318.645833333343</v>
      </c>
      <c r="F841">
        <v>3</v>
      </c>
      <c r="G841">
        <v>24</v>
      </c>
      <c r="H841" t="s">
        <v>22</v>
      </c>
      <c r="I841" t="s">
        <v>18</v>
      </c>
      <c r="J841">
        <v>8</v>
      </c>
      <c r="K841">
        <v>2026</v>
      </c>
      <c r="L841">
        <v>10</v>
      </c>
      <c r="M841">
        <v>15</v>
      </c>
      <c r="N841" t="s">
        <v>43</v>
      </c>
      <c r="O841" t="s">
        <v>13</v>
      </c>
      <c r="P841" t="s">
        <v>20</v>
      </c>
      <c r="Q841" t="s">
        <v>26</v>
      </c>
    </row>
    <row r="842" spans="1:17" x14ac:dyDescent="0.35">
      <c r="A842">
        <v>853</v>
      </c>
      <c r="B842">
        <v>16</v>
      </c>
      <c r="C842">
        <v>15</v>
      </c>
      <c r="D842">
        <v>10</v>
      </c>
      <c r="E842" s="1">
        <v>46296.979166666657</v>
      </c>
      <c r="F842">
        <v>3</v>
      </c>
      <c r="G842">
        <v>27</v>
      </c>
      <c r="H842" t="s">
        <v>22</v>
      </c>
      <c r="I842" t="s">
        <v>18</v>
      </c>
      <c r="J842">
        <v>9</v>
      </c>
      <c r="K842">
        <v>2026</v>
      </c>
      <c r="L842">
        <v>10</v>
      </c>
      <c r="M842">
        <v>23</v>
      </c>
      <c r="N842" t="s">
        <v>41</v>
      </c>
      <c r="O842" t="s">
        <v>13</v>
      </c>
      <c r="P842" t="s">
        <v>38</v>
      </c>
      <c r="Q842" t="s">
        <v>32</v>
      </c>
    </row>
    <row r="843" spans="1:17" x14ac:dyDescent="0.35">
      <c r="A843">
        <v>854</v>
      </c>
      <c r="B843">
        <v>3</v>
      </c>
      <c r="C843">
        <v>20</v>
      </c>
      <c r="D843">
        <v>2</v>
      </c>
      <c r="E843" s="1">
        <v>46384.583333333343</v>
      </c>
      <c r="F843">
        <v>4</v>
      </c>
      <c r="G843">
        <v>32</v>
      </c>
      <c r="H843" t="s">
        <v>17</v>
      </c>
      <c r="I843" t="s">
        <v>31</v>
      </c>
      <c r="J843">
        <v>8</v>
      </c>
      <c r="K843">
        <v>2026</v>
      </c>
      <c r="L843">
        <v>12</v>
      </c>
      <c r="M843">
        <v>14</v>
      </c>
      <c r="N843" t="s">
        <v>33</v>
      </c>
      <c r="O843" t="s">
        <v>13</v>
      </c>
      <c r="P843" t="s">
        <v>36</v>
      </c>
      <c r="Q843" t="s">
        <v>54</v>
      </c>
    </row>
    <row r="844" spans="1:17" x14ac:dyDescent="0.35">
      <c r="A844">
        <v>855</v>
      </c>
      <c r="B844">
        <v>6</v>
      </c>
      <c r="C844">
        <v>15</v>
      </c>
      <c r="D844">
        <v>4</v>
      </c>
      <c r="E844" s="1">
        <v>46200.9375</v>
      </c>
      <c r="F844">
        <v>1</v>
      </c>
      <c r="G844">
        <v>10</v>
      </c>
      <c r="H844" t="s">
        <v>22</v>
      </c>
      <c r="I844" t="s">
        <v>27</v>
      </c>
      <c r="J844">
        <v>10</v>
      </c>
      <c r="K844">
        <v>2026</v>
      </c>
      <c r="L844">
        <v>6</v>
      </c>
      <c r="M844">
        <v>22</v>
      </c>
      <c r="N844" t="s">
        <v>23</v>
      </c>
      <c r="O844" t="s">
        <v>24</v>
      </c>
      <c r="P844" t="s">
        <v>38</v>
      </c>
      <c r="Q844" t="s">
        <v>26</v>
      </c>
    </row>
    <row r="845" spans="1:17" x14ac:dyDescent="0.35">
      <c r="A845">
        <v>856</v>
      </c>
      <c r="B845">
        <v>4</v>
      </c>
      <c r="C845">
        <v>17</v>
      </c>
      <c r="D845">
        <v>9</v>
      </c>
      <c r="E845" s="1">
        <v>46120.666666666657</v>
      </c>
      <c r="F845">
        <v>6</v>
      </c>
      <c r="G845">
        <v>48</v>
      </c>
      <c r="H845" t="s">
        <v>22</v>
      </c>
      <c r="I845" t="s">
        <v>31</v>
      </c>
      <c r="J845">
        <v>8</v>
      </c>
      <c r="K845">
        <v>2026</v>
      </c>
      <c r="L845">
        <v>4</v>
      </c>
      <c r="M845">
        <v>16</v>
      </c>
      <c r="N845" t="s">
        <v>19</v>
      </c>
      <c r="O845" t="s">
        <v>13</v>
      </c>
      <c r="P845" t="s">
        <v>56</v>
      </c>
      <c r="Q845" t="s">
        <v>30</v>
      </c>
    </row>
    <row r="846" spans="1:17" x14ac:dyDescent="0.35">
      <c r="A846">
        <v>857</v>
      </c>
      <c r="B846">
        <v>8</v>
      </c>
      <c r="C846">
        <v>1</v>
      </c>
      <c r="D846">
        <v>8</v>
      </c>
      <c r="E846" s="1">
        <v>46120.666666666657</v>
      </c>
      <c r="F846">
        <v>2</v>
      </c>
      <c r="G846">
        <v>16</v>
      </c>
      <c r="H846" t="s">
        <v>17</v>
      </c>
      <c r="I846" t="s">
        <v>31</v>
      </c>
      <c r="J846">
        <v>8</v>
      </c>
      <c r="K846">
        <v>2026</v>
      </c>
      <c r="L846">
        <v>4</v>
      </c>
      <c r="M846">
        <v>16</v>
      </c>
      <c r="N846" t="s">
        <v>19</v>
      </c>
      <c r="O846" t="s">
        <v>13</v>
      </c>
      <c r="P846" t="s">
        <v>39</v>
      </c>
      <c r="Q846" t="s">
        <v>46</v>
      </c>
    </row>
    <row r="847" spans="1:17" x14ac:dyDescent="0.35">
      <c r="A847">
        <v>858</v>
      </c>
      <c r="B847">
        <v>18</v>
      </c>
      <c r="C847">
        <v>10</v>
      </c>
      <c r="D847">
        <v>6</v>
      </c>
      <c r="E847" s="1">
        <v>46026.625</v>
      </c>
      <c r="F847">
        <v>1</v>
      </c>
      <c r="G847">
        <v>9</v>
      </c>
      <c r="H847" t="s">
        <v>22</v>
      </c>
      <c r="I847" t="s">
        <v>27</v>
      </c>
      <c r="J847">
        <v>9</v>
      </c>
      <c r="K847">
        <v>2026</v>
      </c>
      <c r="L847">
        <v>1</v>
      </c>
      <c r="M847">
        <v>15</v>
      </c>
      <c r="N847" t="s">
        <v>28</v>
      </c>
      <c r="O847" t="s">
        <v>24</v>
      </c>
      <c r="P847" t="s">
        <v>25</v>
      </c>
      <c r="Q847" t="s">
        <v>21</v>
      </c>
    </row>
    <row r="848" spans="1:17" x14ac:dyDescent="0.35">
      <c r="A848">
        <v>859</v>
      </c>
      <c r="B848">
        <v>14</v>
      </c>
      <c r="C848">
        <v>8</v>
      </c>
      <c r="D848">
        <v>3</v>
      </c>
      <c r="E848" s="1">
        <v>46161.583333333343</v>
      </c>
      <c r="F848">
        <v>3</v>
      </c>
      <c r="G848">
        <v>24</v>
      </c>
      <c r="H848" t="s">
        <v>22</v>
      </c>
      <c r="I848" t="s">
        <v>27</v>
      </c>
      <c r="J848">
        <v>8</v>
      </c>
      <c r="K848">
        <v>2026</v>
      </c>
      <c r="L848">
        <v>5</v>
      </c>
      <c r="M848">
        <v>14</v>
      </c>
      <c r="N848" t="s">
        <v>37</v>
      </c>
      <c r="O848" t="s">
        <v>13</v>
      </c>
      <c r="P848" t="s">
        <v>42</v>
      </c>
      <c r="Q848" t="s">
        <v>45</v>
      </c>
    </row>
    <row r="849" spans="1:17" x14ac:dyDescent="0.35">
      <c r="A849">
        <v>860</v>
      </c>
      <c r="B849">
        <v>2</v>
      </c>
      <c r="C849">
        <v>12</v>
      </c>
      <c r="D849">
        <v>4</v>
      </c>
      <c r="E849" s="1">
        <v>46088.708333333343</v>
      </c>
      <c r="F849">
        <v>1</v>
      </c>
      <c r="G849">
        <v>9</v>
      </c>
      <c r="H849" t="s">
        <v>22</v>
      </c>
      <c r="I849" t="s">
        <v>18</v>
      </c>
      <c r="J849">
        <v>9</v>
      </c>
      <c r="K849">
        <v>2026</v>
      </c>
      <c r="L849">
        <v>3</v>
      </c>
      <c r="M849">
        <v>17</v>
      </c>
      <c r="N849" t="s">
        <v>23</v>
      </c>
      <c r="O849" t="s">
        <v>24</v>
      </c>
      <c r="P849" t="s">
        <v>57</v>
      </c>
      <c r="Q849" t="s">
        <v>26</v>
      </c>
    </row>
    <row r="850" spans="1:17" x14ac:dyDescent="0.35">
      <c r="A850">
        <v>861</v>
      </c>
      <c r="B850">
        <v>7</v>
      </c>
      <c r="C850">
        <v>7</v>
      </c>
      <c r="D850">
        <v>2</v>
      </c>
      <c r="E850" s="1">
        <v>46341.854166666657</v>
      </c>
      <c r="F850">
        <v>4</v>
      </c>
      <c r="G850">
        <v>36</v>
      </c>
      <c r="H850" t="s">
        <v>22</v>
      </c>
      <c r="I850" t="s">
        <v>18</v>
      </c>
      <c r="J850">
        <v>9</v>
      </c>
      <c r="K850">
        <v>2026</v>
      </c>
      <c r="L850">
        <v>11</v>
      </c>
      <c r="M850">
        <v>20</v>
      </c>
      <c r="N850" t="s">
        <v>28</v>
      </c>
      <c r="O850" t="s">
        <v>24</v>
      </c>
      <c r="P850" t="s">
        <v>34</v>
      </c>
      <c r="Q850" t="s">
        <v>54</v>
      </c>
    </row>
    <row r="851" spans="1:17" x14ac:dyDescent="0.35">
      <c r="A851">
        <v>862</v>
      </c>
      <c r="B851">
        <v>3</v>
      </c>
      <c r="C851">
        <v>17</v>
      </c>
      <c r="D851">
        <v>5</v>
      </c>
      <c r="E851" s="1">
        <v>46117.625</v>
      </c>
      <c r="F851">
        <v>1</v>
      </c>
      <c r="G851">
        <v>9</v>
      </c>
      <c r="H851" t="s">
        <v>22</v>
      </c>
      <c r="I851" t="s">
        <v>31</v>
      </c>
      <c r="J851">
        <v>9</v>
      </c>
      <c r="K851">
        <v>2026</v>
      </c>
      <c r="L851">
        <v>4</v>
      </c>
      <c r="M851">
        <v>15</v>
      </c>
      <c r="N851" t="s">
        <v>28</v>
      </c>
      <c r="O851" t="s">
        <v>24</v>
      </c>
      <c r="P851" t="s">
        <v>56</v>
      </c>
      <c r="Q851" t="s">
        <v>50</v>
      </c>
    </row>
    <row r="852" spans="1:17" x14ac:dyDescent="0.35">
      <c r="A852">
        <v>863</v>
      </c>
      <c r="B852">
        <v>20</v>
      </c>
      <c r="C852">
        <v>1</v>
      </c>
      <c r="D852">
        <v>4</v>
      </c>
      <c r="E852" s="1">
        <v>46123.979166666657</v>
      </c>
      <c r="F852">
        <v>2</v>
      </c>
      <c r="G852">
        <v>20</v>
      </c>
      <c r="H852" t="s">
        <v>22</v>
      </c>
      <c r="I852" t="s">
        <v>18</v>
      </c>
      <c r="J852">
        <v>10</v>
      </c>
      <c r="K852">
        <v>2026</v>
      </c>
      <c r="L852">
        <v>4</v>
      </c>
      <c r="M852">
        <v>23</v>
      </c>
      <c r="N852" t="s">
        <v>23</v>
      </c>
      <c r="O852" t="s">
        <v>24</v>
      </c>
      <c r="P852" t="s">
        <v>39</v>
      </c>
      <c r="Q852" t="s">
        <v>26</v>
      </c>
    </row>
    <row r="853" spans="1:17" x14ac:dyDescent="0.35">
      <c r="A853">
        <v>864</v>
      </c>
      <c r="B853">
        <v>15</v>
      </c>
      <c r="C853">
        <v>18</v>
      </c>
      <c r="D853">
        <v>10</v>
      </c>
      <c r="E853" s="1">
        <v>46075.625</v>
      </c>
      <c r="F853">
        <v>5</v>
      </c>
      <c r="G853">
        <v>45</v>
      </c>
      <c r="H853" t="s">
        <v>22</v>
      </c>
      <c r="I853" t="s">
        <v>27</v>
      </c>
      <c r="J853">
        <v>9</v>
      </c>
      <c r="K853">
        <v>2026</v>
      </c>
      <c r="L853">
        <v>2</v>
      </c>
      <c r="M853">
        <v>15</v>
      </c>
      <c r="N853" t="s">
        <v>28</v>
      </c>
      <c r="O853" t="s">
        <v>24</v>
      </c>
      <c r="P853" t="s">
        <v>47</v>
      </c>
      <c r="Q853" t="s">
        <v>32</v>
      </c>
    </row>
    <row r="854" spans="1:17" x14ac:dyDescent="0.35">
      <c r="A854">
        <v>865</v>
      </c>
      <c r="B854">
        <v>7</v>
      </c>
      <c r="C854">
        <v>19</v>
      </c>
      <c r="D854">
        <v>9</v>
      </c>
      <c r="E854" s="1">
        <v>46104.979166666657</v>
      </c>
      <c r="F854">
        <v>5</v>
      </c>
      <c r="G854">
        <v>45</v>
      </c>
      <c r="H854" t="s">
        <v>22</v>
      </c>
      <c r="I854" t="s">
        <v>27</v>
      </c>
      <c r="J854">
        <v>9</v>
      </c>
      <c r="K854">
        <v>2026</v>
      </c>
      <c r="L854">
        <v>3</v>
      </c>
      <c r="M854">
        <v>23</v>
      </c>
      <c r="N854" t="s">
        <v>33</v>
      </c>
      <c r="O854" t="s">
        <v>13</v>
      </c>
      <c r="P854" t="s">
        <v>58</v>
      </c>
      <c r="Q854" t="s">
        <v>30</v>
      </c>
    </row>
    <row r="855" spans="1:17" x14ac:dyDescent="0.35">
      <c r="A855">
        <v>866</v>
      </c>
      <c r="B855">
        <v>7</v>
      </c>
      <c r="C855">
        <v>16</v>
      </c>
      <c r="D855">
        <v>10</v>
      </c>
      <c r="E855" s="1">
        <v>46235.604166666657</v>
      </c>
      <c r="F855">
        <v>5</v>
      </c>
      <c r="G855">
        <v>45</v>
      </c>
      <c r="H855" t="s">
        <v>22</v>
      </c>
      <c r="I855" t="s">
        <v>27</v>
      </c>
      <c r="J855">
        <v>9</v>
      </c>
      <c r="K855">
        <v>2026</v>
      </c>
      <c r="L855">
        <v>8</v>
      </c>
      <c r="M855">
        <v>14</v>
      </c>
      <c r="N855" t="s">
        <v>23</v>
      </c>
      <c r="O855" t="s">
        <v>24</v>
      </c>
      <c r="P855" t="s">
        <v>51</v>
      </c>
      <c r="Q855" t="s">
        <v>32</v>
      </c>
    </row>
    <row r="856" spans="1:17" x14ac:dyDescent="0.35">
      <c r="A856">
        <v>867</v>
      </c>
      <c r="B856">
        <v>4</v>
      </c>
      <c r="C856">
        <v>9</v>
      </c>
      <c r="D856">
        <v>6</v>
      </c>
      <c r="E856" s="1">
        <v>46268.854166666657</v>
      </c>
      <c r="F856">
        <v>1</v>
      </c>
      <c r="G856">
        <v>8</v>
      </c>
      <c r="H856" t="s">
        <v>17</v>
      </c>
      <c r="I856" t="s">
        <v>31</v>
      </c>
      <c r="J856">
        <v>8</v>
      </c>
      <c r="K856">
        <v>2026</v>
      </c>
      <c r="L856">
        <v>9</v>
      </c>
      <c r="M856">
        <v>20</v>
      </c>
      <c r="N856" t="s">
        <v>41</v>
      </c>
      <c r="O856" t="s">
        <v>13</v>
      </c>
      <c r="P856" t="s">
        <v>48</v>
      </c>
      <c r="Q856" t="s">
        <v>21</v>
      </c>
    </row>
    <row r="857" spans="1:17" x14ac:dyDescent="0.35">
      <c r="A857">
        <v>868</v>
      </c>
      <c r="B857">
        <v>5</v>
      </c>
      <c r="C857">
        <v>9</v>
      </c>
      <c r="D857">
        <v>8</v>
      </c>
      <c r="E857" s="1">
        <v>46100.770833333343</v>
      </c>
      <c r="F857">
        <v>6</v>
      </c>
      <c r="G857">
        <v>48</v>
      </c>
      <c r="H857" t="s">
        <v>22</v>
      </c>
      <c r="I857" t="s">
        <v>18</v>
      </c>
      <c r="J857">
        <v>8</v>
      </c>
      <c r="K857">
        <v>2026</v>
      </c>
      <c r="L857">
        <v>3</v>
      </c>
      <c r="M857">
        <v>18</v>
      </c>
      <c r="N857" t="s">
        <v>41</v>
      </c>
      <c r="O857" t="s">
        <v>13</v>
      </c>
      <c r="P857" t="s">
        <v>48</v>
      </c>
      <c r="Q857" t="s">
        <v>46</v>
      </c>
    </row>
    <row r="858" spans="1:17" x14ac:dyDescent="0.35">
      <c r="A858">
        <v>869</v>
      </c>
      <c r="B858">
        <v>3</v>
      </c>
      <c r="C858">
        <v>19</v>
      </c>
      <c r="D858">
        <v>3</v>
      </c>
      <c r="E858" s="1">
        <v>46070.833333333343</v>
      </c>
      <c r="F858">
        <v>4</v>
      </c>
      <c r="G858">
        <v>32</v>
      </c>
      <c r="H858" t="s">
        <v>17</v>
      </c>
      <c r="I858" t="s">
        <v>31</v>
      </c>
      <c r="J858">
        <v>8</v>
      </c>
      <c r="K858">
        <v>2026</v>
      </c>
      <c r="L858">
        <v>2</v>
      </c>
      <c r="M858">
        <v>20</v>
      </c>
      <c r="N858" t="s">
        <v>37</v>
      </c>
      <c r="O858" t="s">
        <v>13</v>
      </c>
      <c r="P858" t="s">
        <v>58</v>
      </c>
      <c r="Q858" t="s">
        <v>45</v>
      </c>
    </row>
    <row r="859" spans="1:17" x14ac:dyDescent="0.35">
      <c r="A859">
        <v>870</v>
      </c>
      <c r="B859">
        <v>20</v>
      </c>
      <c r="C859">
        <v>14</v>
      </c>
      <c r="D859">
        <v>2</v>
      </c>
      <c r="E859" s="1">
        <v>46285.9375</v>
      </c>
      <c r="F859">
        <v>1</v>
      </c>
      <c r="G859">
        <v>10</v>
      </c>
      <c r="H859" t="s">
        <v>22</v>
      </c>
      <c r="I859" t="s">
        <v>18</v>
      </c>
      <c r="J859">
        <v>10</v>
      </c>
      <c r="K859">
        <v>2026</v>
      </c>
      <c r="L859">
        <v>9</v>
      </c>
      <c r="M859">
        <v>22</v>
      </c>
      <c r="N859" t="s">
        <v>28</v>
      </c>
      <c r="O859" t="s">
        <v>24</v>
      </c>
      <c r="P859" t="s">
        <v>29</v>
      </c>
      <c r="Q859" t="s">
        <v>54</v>
      </c>
    </row>
    <row r="860" spans="1:17" x14ac:dyDescent="0.35">
      <c r="A860">
        <v>871</v>
      </c>
      <c r="B860">
        <v>1</v>
      </c>
      <c r="C860">
        <v>3</v>
      </c>
      <c r="D860">
        <v>1</v>
      </c>
      <c r="E860" s="1">
        <v>46138.875</v>
      </c>
      <c r="F860">
        <v>5</v>
      </c>
      <c r="G860">
        <v>50</v>
      </c>
      <c r="H860" t="s">
        <v>22</v>
      </c>
      <c r="I860" t="s">
        <v>31</v>
      </c>
      <c r="J860">
        <v>10</v>
      </c>
      <c r="K860">
        <v>2026</v>
      </c>
      <c r="L860">
        <v>4</v>
      </c>
      <c r="M860">
        <v>21</v>
      </c>
      <c r="N860" t="s">
        <v>28</v>
      </c>
      <c r="O860" t="s">
        <v>24</v>
      </c>
      <c r="P860" t="s">
        <v>20</v>
      </c>
      <c r="Q860" t="s">
        <v>40</v>
      </c>
    </row>
    <row r="861" spans="1:17" x14ac:dyDescent="0.35">
      <c r="A861">
        <v>872</v>
      </c>
      <c r="B861">
        <v>19</v>
      </c>
      <c r="C861">
        <v>20</v>
      </c>
      <c r="D861">
        <v>10</v>
      </c>
      <c r="E861" s="1">
        <v>46363.979166666657</v>
      </c>
      <c r="F861">
        <v>6</v>
      </c>
      <c r="G861">
        <v>54</v>
      </c>
      <c r="H861" t="s">
        <v>22</v>
      </c>
      <c r="I861" t="s">
        <v>31</v>
      </c>
      <c r="J861">
        <v>9</v>
      </c>
      <c r="K861">
        <v>2026</v>
      </c>
      <c r="L861">
        <v>12</v>
      </c>
      <c r="M861">
        <v>23</v>
      </c>
      <c r="N861" t="s">
        <v>33</v>
      </c>
      <c r="O861" t="s">
        <v>13</v>
      </c>
      <c r="P861" t="s">
        <v>36</v>
      </c>
      <c r="Q861" t="s">
        <v>32</v>
      </c>
    </row>
    <row r="862" spans="1:17" x14ac:dyDescent="0.35">
      <c r="A862">
        <v>873</v>
      </c>
      <c r="B862">
        <v>19</v>
      </c>
      <c r="C862">
        <v>12</v>
      </c>
      <c r="D862">
        <v>1</v>
      </c>
      <c r="E862" s="1">
        <v>46177.916666666657</v>
      </c>
      <c r="F862">
        <v>5</v>
      </c>
      <c r="G862">
        <v>45</v>
      </c>
      <c r="H862" t="s">
        <v>22</v>
      </c>
      <c r="I862" t="s">
        <v>18</v>
      </c>
      <c r="J862">
        <v>9</v>
      </c>
      <c r="K862">
        <v>2026</v>
      </c>
      <c r="L862">
        <v>6</v>
      </c>
      <c r="M862">
        <v>22</v>
      </c>
      <c r="N862" t="s">
        <v>41</v>
      </c>
      <c r="O862" t="s">
        <v>13</v>
      </c>
      <c r="P862" t="s">
        <v>57</v>
      </c>
      <c r="Q862" t="s">
        <v>40</v>
      </c>
    </row>
    <row r="863" spans="1:17" x14ac:dyDescent="0.35">
      <c r="A863">
        <v>874</v>
      </c>
      <c r="B863">
        <v>3</v>
      </c>
      <c r="C863">
        <v>16</v>
      </c>
      <c r="D863">
        <v>7</v>
      </c>
      <c r="E863" s="1">
        <v>46203.833333333343</v>
      </c>
      <c r="F863">
        <v>5</v>
      </c>
      <c r="G863">
        <v>40</v>
      </c>
      <c r="H863" t="s">
        <v>22</v>
      </c>
      <c r="I863" t="s">
        <v>31</v>
      </c>
      <c r="J863">
        <v>8</v>
      </c>
      <c r="K863">
        <v>2026</v>
      </c>
      <c r="L863">
        <v>6</v>
      </c>
      <c r="M863">
        <v>20</v>
      </c>
      <c r="N863" t="s">
        <v>37</v>
      </c>
      <c r="O863" t="s">
        <v>13</v>
      </c>
      <c r="P863" t="s">
        <v>51</v>
      </c>
      <c r="Q863" t="s">
        <v>35</v>
      </c>
    </row>
    <row r="864" spans="1:17" x14ac:dyDescent="0.35">
      <c r="A864">
        <v>875</v>
      </c>
      <c r="B864">
        <v>6</v>
      </c>
      <c r="C864">
        <v>14</v>
      </c>
      <c r="D864">
        <v>5</v>
      </c>
      <c r="E864" s="1">
        <v>46377.9375</v>
      </c>
      <c r="F864">
        <v>2</v>
      </c>
      <c r="G864">
        <v>18</v>
      </c>
      <c r="H864" t="s">
        <v>22</v>
      </c>
      <c r="I864" t="s">
        <v>31</v>
      </c>
      <c r="J864">
        <v>9</v>
      </c>
      <c r="K864">
        <v>2026</v>
      </c>
      <c r="L864">
        <v>12</v>
      </c>
      <c r="M864">
        <v>22</v>
      </c>
      <c r="N864" t="s">
        <v>33</v>
      </c>
      <c r="O864" t="s">
        <v>13</v>
      </c>
      <c r="P864" t="s">
        <v>29</v>
      </c>
      <c r="Q864" t="s">
        <v>50</v>
      </c>
    </row>
    <row r="865" spans="1:17" x14ac:dyDescent="0.35">
      <c r="A865">
        <v>876</v>
      </c>
      <c r="B865">
        <v>7</v>
      </c>
      <c r="C865">
        <v>17</v>
      </c>
      <c r="D865">
        <v>4</v>
      </c>
      <c r="E865" s="1">
        <v>46357.729166666657</v>
      </c>
      <c r="F865">
        <v>1</v>
      </c>
      <c r="G865">
        <v>8</v>
      </c>
      <c r="H865" t="s">
        <v>22</v>
      </c>
      <c r="I865" t="s">
        <v>18</v>
      </c>
      <c r="J865">
        <v>8</v>
      </c>
      <c r="K865">
        <v>2026</v>
      </c>
      <c r="L865">
        <v>12</v>
      </c>
      <c r="M865">
        <v>17</v>
      </c>
      <c r="N865" t="s">
        <v>37</v>
      </c>
      <c r="O865" t="s">
        <v>13</v>
      </c>
      <c r="P865" t="s">
        <v>56</v>
      </c>
      <c r="Q865" t="s">
        <v>26</v>
      </c>
    </row>
    <row r="866" spans="1:17" x14ac:dyDescent="0.35">
      <c r="A866">
        <v>877</v>
      </c>
      <c r="B866">
        <v>6</v>
      </c>
      <c r="C866">
        <v>16</v>
      </c>
      <c r="D866">
        <v>2</v>
      </c>
      <c r="E866" s="1">
        <v>46380.645833333343</v>
      </c>
      <c r="F866">
        <v>3</v>
      </c>
      <c r="G866">
        <v>24</v>
      </c>
      <c r="H866" t="s">
        <v>22</v>
      </c>
      <c r="I866" t="s">
        <v>18</v>
      </c>
      <c r="J866">
        <v>8</v>
      </c>
      <c r="K866">
        <v>2026</v>
      </c>
      <c r="L866">
        <v>12</v>
      </c>
      <c r="M866">
        <v>15</v>
      </c>
      <c r="N866" t="s">
        <v>41</v>
      </c>
      <c r="O866" t="s">
        <v>13</v>
      </c>
      <c r="P866" t="s">
        <v>51</v>
      </c>
      <c r="Q866" t="s">
        <v>54</v>
      </c>
    </row>
    <row r="867" spans="1:17" x14ac:dyDescent="0.35">
      <c r="A867">
        <v>878</v>
      </c>
      <c r="B867">
        <v>19</v>
      </c>
      <c r="C867">
        <v>7</v>
      </c>
      <c r="D867">
        <v>9</v>
      </c>
      <c r="E867" s="1">
        <v>46098.666666666657</v>
      </c>
      <c r="F867">
        <v>5</v>
      </c>
      <c r="G867">
        <v>40</v>
      </c>
      <c r="H867" t="s">
        <v>22</v>
      </c>
      <c r="I867" t="s">
        <v>27</v>
      </c>
      <c r="J867">
        <v>8</v>
      </c>
      <c r="K867">
        <v>2026</v>
      </c>
      <c r="L867">
        <v>3</v>
      </c>
      <c r="M867">
        <v>16</v>
      </c>
      <c r="N867" t="s">
        <v>37</v>
      </c>
      <c r="O867" t="s">
        <v>13</v>
      </c>
      <c r="P867" t="s">
        <v>34</v>
      </c>
      <c r="Q867" t="s">
        <v>30</v>
      </c>
    </row>
    <row r="868" spans="1:17" x14ac:dyDescent="0.35">
      <c r="A868">
        <v>879</v>
      </c>
      <c r="B868">
        <v>13</v>
      </c>
      <c r="C868">
        <v>8</v>
      </c>
      <c r="D868">
        <v>4</v>
      </c>
      <c r="E868" s="1">
        <v>46242.875</v>
      </c>
      <c r="F868">
        <v>4</v>
      </c>
      <c r="G868">
        <v>40</v>
      </c>
      <c r="H868" t="s">
        <v>22</v>
      </c>
      <c r="I868" t="s">
        <v>27</v>
      </c>
      <c r="J868">
        <v>10</v>
      </c>
      <c r="K868">
        <v>2026</v>
      </c>
      <c r="L868">
        <v>8</v>
      </c>
      <c r="M868">
        <v>21</v>
      </c>
      <c r="N868" t="s">
        <v>23</v>
      </c>
      <c r="O868" t="s">
        <v>24</v>
      </c>
      <c r="P868" t="s">
        <v>42</v>
      </c>
      <c r="Q868" t="s">
        <v>26</v>
      </c>
    </row>
    <row r="869" spans="1:17" x14ac:dyDescent="0.35">
      <c r="A869">
        <v>880</v>
      </c>
      <c r="B869">
        <v>1</v>
      </c>
      <c r="C869">
        <v>11</v>
      </c>
      <c r="D869">
        <v>8</v>
      </c>
      <c r="E869" s="1">
        <v>46115.895833333343</v>
      </c>
      <c r="F869">
        <v>2</v>
      </c>
      <c r="G869">
        <v>18</v>
      </c>
      <c r="H869" t="s">
        <v>22</v>
      </c>
      <c r="I869" t="s">
        <v>18</v>
      </c>
      <c r="J869">
        <v>9</v>
      </c>
      <c r="K869">
        <v>2026</v>
      </c>
      <c r="L869">
        <v>4</v>
      </c>
      <c r="M869">
        <v>21</v>
      </c>
      <c r="N869" t="s">
        <v>43</v>
      </c>
      <c r="O869" t="s">
        <v>13</v>
      </c>
      <c r="P869" t="s">
        <v>59</v>
      </c>
      <c r="Q869" t="s">
        <v>46</v>
      </c>
    </row>
    <row r="870" spans="1:17" x14ac:dyDescent="0.35">
      <c r="A870">
        <v>881</v>
      </c>
      <c r="B870">
        <v>7</v>
      </c>
      <c r="C870">
        <v>15</v>
      </c>
      <c r="D870">
        <v>1</v>
      </c>
      <c r="E870" s="1">
        <v>46270.979166666657</v>
      </c>
      <c r="F870">
        <v>5</v>
      </c>
      <c r="G870">
        <v>50</v>
      </c>
      <c r="H870" t="s">
        <v>22</v>
      </c>
      <c r="I870" t="s">
        <v>27</v>
      </c>
      <c r="J870">
        <v>10</v>
      </c>
      <c r="K870">
        <v>2026</v>
      </c>
      <c r="L870">
        <v>9</v>
      </c>
      <c r="M870">
        <v>23</v>
      </c>
      <c r="N870" t="s">
        <v>23</v>
      </c>
      <c r="O870" t="s">
        <v>24</v>
      </c>
      <c r="P870" t="s">
        <v>38</v>
      </c>
      <c r="Q870" t="s">
        <v>40</v>
      </c>
    </row>
    <row r="871" spans="1:17" x14ac:dyDescent="0.35">
      <c r="A871">
        <v>882</v>
      </c>
      <c r="B871">
        <v>5</v>
      </c>
      <c r="C871">
        <v>10</v>
      </c>
      <c r="D871">
        <v>6</v>
      </c>
      <c r="E871" s="1">
        <v>46115.854166666657</v>
      </c>
      <c r="F871">
        <v>5</v>
      </c>
      <c r="G871">
        <v>40</v>
      </c>
      <c r="H871" t="s">
        <v>17</v>
      </c>
      <c r="I871" t="s">
        <v>27</v>
      </c>
      <c r="J871">
        <v>8</v>
      </c>
      <c r="K871">
        <v>2026</v>
      </c>
      <c r="L871">
        <v>4</v>
      </c>
      <c r="M871">
        <v>20</v>
      </c>
      <c r="N871" t="s">
        <v>43</v>
      </c>
      <c r="O871" t="s">
        <v>13</v>
      </c>
      <c r="P871" t="s">
        <v>25</v>
      </c>
      <c r="Q871" t="s">
        <v>21</v>
      </c>
    </row>
    <row r="872" spans="1:17" x14ac:dyDescent="0.35">
      <c r="A872">
        <v>883</v>
      </c>
      <c r="B872">
        <v>13</v>
      </c>
      <c r="C872">
        <v>9</v>
      </c>
      <c r="D872">
        <v>2</v>
      </c>
      <c r="E872" s="1">
        <v>46154.833333333343</v>
      </c>
      <c r="F872">
        <v>1</v>
      </c>
      <c r="G872">
        <v>8</v>
      </c>
      <c r="H872" t="s">
        <v>17</v>
      </c>
      <c r="I872" t="s">
        <v>27</v>
      </c>
      <c r="J872">
        <v>8</v>
      </c>
      <c r="K872">
        <v>2026</v>
      </c>
      <c r="L872">
        <v>5</v>
      </c>
      <c r="M872">
        <v>20</v>
      </c>
      <c r="N872" t="s">
        <v>37</v>
      </c>
      <c r="O872" t="s">
        <v>13</v>
      </c>
      <c r="P872" t="s">
        <v>48</v>
      </c>
      <c r="Q872" t="s">
        <v>54</v>
      </c>
    </row>
    <row r="873" spans="1:17" x14ac:dyDescent="0.35">
      <c r="A873">
        <v>884</v>
      </c>
      <c r="B873">
        <v>14</v>
      </c>
      <c r="C873">
        <v>18</v>
      </c>
      <c r="D873">
        <v>4</v>
      </c>
      <c r="E873" s="1">
        <v>46258.9375</v>
      </c>
      <c r="F873">
        <v>4</v>
      </c>
      <c r="G873">
        <v>36</v>
      </c>
      <c r="H873" t="s">
        <v>22</v>
      </c>
      <c r="I873" t="s">
        <v>27</v>
      </c>
      <c r="J873">
        <v>9</v>
      </c>
      <c r="K873">
        <v>2026</v>
      </c>
      <c r="L873">
        <v>8</v>
      </c>
      <c r="M873">
        <v>22</v>
      </c>
      <c r="N873" t="s">
        <v>33</v>
      </c>
      <c r="O873" t="s">
        <v>13</v>
      </c>
      <c r="P873" t="s">
        <v>47</v>
      </c>
      <c r="Q873" t="s">
        <v>26</v>
      </c>
    </row>
    <row r="874" spans="1:17" x14ac:dyDescent="0.35">
      <c r="A874">
        <v>885</v>
      </c>
      <c r="B874">
        <v>3</v>
      </c>
      <c r="C874">
        <v>16</v>
      </c>
      <c r="D874">
        <v>7</v>
      </c>
      <c r="E874" s="1">
        <v>46241.895833333343</v>
      </c>
      <c r="F874">
        <v>5</v>
      </c>
      <c r="G874">
        <v>45</v>
      </c>
      <c r="H874" t="s">
        <v>22</v>
      </c>
      <c r="I874" t="s">
        <v>31</v>
      </c>
      <c r="J874">
        <v>9</v>
      </c>
      <c r="K874">
        <v>2026</v>
      </c>
      <c r="L874">
        <v>8</v>
      </c>
      <c r="M874">
        <v>21</v>
      </c>
      <c r="N874" t="s">
        <v>43</v>
      </c>
      <c r="O874" t="s">
        <v>13</v>
      </c>
      <c r="P874" t="s">
        <v>51</v>
      </c>
      <c r="Q874" t="s">
        <v>35</v>
      </c>
    </row>
    <row r="875" spans="1:17" x14ac:dyDescent="0.35">
      <c r="A875">
        <v>886</v>
      </c>
      <c r="B875">
        <v>13</v>
      </c>
      <c r="C875">
        <v>9</v>
      </c>
      <c r="D875">
        <v>3</v>
      </c>
      <c r="E875" s="1">
        <v>46342.666666666657</v>
      </c>
      <c r="F875">
        <v>1</v>
      </c>
      <c r="G875">
        <v>8</v>
      </c>
      <c r="H875" t="s">
        <v>22</v>
      </c>
      <c r="I875" t="s">
        <v>27</v>
      </c>
      <c r="J875">
        <v>8</v>
      </c>
      <c r="K875">
        <v>2026</v>
      </c>
      <c r="L875">
        <v>11</v>
      </c>
      <c r="M875">
        <v>16</v>
      </c>
      <c r="N875" t="s">
        <v>33</v>
      </c>
      <c r="O875" t="s">
        <v>13</v>
      </c>
      <c r="P875" t="s">
        <v>48</v>
      </c>
      <c r="Q875" t="s">
        <v>45</v>
      </c>
    </row>
    <row r="876" spans="1:17" x14ac:dyDescent="0.35">
      <c r="A876">
        <v>887</v>
      </c>
      <c r="B876">
        <v>4</v>
      </c>
      <c r="C876">
        <v>4</v>
      </c>
      <c r="D876">
        <v>9</v>
      </c>
      <c r="E876" s="1">
        <v>46032.958333333343</v>
      </c>
      <c r="F876">
        <v>6</v>
      </c>
      <c r="G876">
        <v>60</v>
      </c>
      <c r="H876" t="s">
        <v>22</v>
      </c>
      <c r="I876" t="s">
        <v>18</v>
      </c>
      <c r="J876">
        <v>10</v>
      </c>
      <c r="K876">
        <v>2026</v>
      </c>
      <c r="L876">
        <v>1</v>
      </c>
      <c r="M876">
        <v>23</v>
      </c>
      <c r="N876" t="s">
        <v>23</v>
      </c>
      <c r="O876" t="s">
        <v>24</v>
      </c>
      <c r="P876" t="s">
        <v>55</v>
      </c>
      <c r="Q876" t="s">
        <v>30</v>
      </c>
    </row>
    <row r="877" spans="1:17" x14ac:dyDescent="0.35">
      <c r="A877">
        <v>888</v>
      </c>
      <c r="B877">
        <v>17</v>
      </c>
      <c r="C877">
        <v>1</v>
      </c>
      <c r="D877">
        <v>8</v>
      </c>
      <c r="E877" s="1">
        <v>46247.604166666657</v>
      </c>
      <c r="F877">
        <v>4</v>
      </c>
      <c r="G877">
        <v>32</v>
      </c>
      <c r="H877" t="s">
        <v>22</v>
      </c>
      <c r="I877" t="s">
        <v>18</v>
      </c>
      <c r="J877">
        <v>8</v>
      </c>
      <c r="K877">
        <v>2026</v>
      </c>
      <c r="L877">
        <v>8</v>
      </c>
      <c r="M877">
        <v>14</v>
      </c>
      <c r="N877" t="s">
        <v>41</v>
      </c>
      <c r="O877" t="s">
        <v>13</v>
      </c>
      <c r="P877" t="s">
        <v>39</v>
      </c>
      <c r="Q877" t="s">
        <v>46</v>
      </c>
    </row>
    <row r="878" spans="1:17" x14ac:dyDescent="0.35">
      <c r="A878">
        <v>889</v>
      </c>
      <c r="B878">
        <v>18</v>
      </c>
      <c r="C878">
        <v>8</v>
      </c>
      <c r="D878">
        <v>8</v>
      </c>
      <c r="E878" s="1">
        <v>46128.791666666657</v>
      </c>
      <c r="F878">
        <v>1</v>
      </c>
      <c r="G878">
        <v>8</v>
      </c>
      <c r="H878" t="s">
        <v>17</v>
      </c>
      <c r="I878" t="s">
        <v>31</v>
      </c>
      <c r="J878">
        <v>8</v>
      </c>
      <c r="K878">
        <v>2026</v>
      </c>
      <c r="L878">
        <v>4</v>
      </c>
      <c r="M878">
        <v>19</v>
      </c>
      <c r="N878" t="s">
        <v>41</v>
      </c>
      <c r="O878" t="s">
        <v>13</v>
      </c>
      <c r="P878" t="s">
        <v>42</v>
      </c>
      <c r="Q878" t="s">
        <v>46</v>
      </c>
    </row>
    <row r="879" spans="1:17" x14ac:dyDescent="0.35">
      <c r="A879">
        <v>890</v>
      </c>
      <c r="B879">
        <v>10</v>
      </c>
      <c r="C879">
        <v>18</v>
      </c>
      <c r="D879">
        <v>10</v>
      </c>
      <c r="E879" s="1">
        <v>46368.958333333343</v>
      </c>
      <c r="F879">
        <v>3</v>
      </c>
      <c r="G879">
        <v>30</v>
      </c>
      <c r="H879" t="s">
        <v>22</v>
      </c>
      <c r="I879" t="s">
        <v>31</v>
      </c>
      <c r="J879">
        <v>10</v>
      </c>
      <c r="K879">
        <v>2026</v>
      </c>
      <c r="L879">
        <v>12</v>
      </c>
      <c r="M879">
        <v>23</v>
      </c>
      <c r="N879" t="s">
        <v>23</v>
      </c>
      <c r="O879" t="s">
        <v>24</v>
      </c>
      <c r="P879" t="s">
        <v>47</v>
      </c>
      <c r="Q879" t="s">
        <v>32</v>
      </c>
    </row>
    <row r="880" spans="1:17" x14ac:dyDescent="0.35">
      <c r="A880">
        <v>891</v>
      </c>
      <c r="B880">
        <v>8</v>
      </c>
      <c r="C880">
        <v>13</v>
      </c>
      <c r="D880">
        <v>4</v>
      </c>
      <c r="E880" s="1">
        <v>46329.916666666657</v>
      </c>
      <c r="F880">
        <v>5</v>
      </c>
      <c r="G880">
        <v>45</v>
      </c>
      <c r="H880" t="s">
        <v>22</v>
      </c>
      <c r="I880" t="s">
        <v>27</v>
      </c>
      <c r="J880">
        <v>9</v>
      </c>
      <c r="K880">
        <v>2026</v>
      </c>
      <c r="L880">
        <v>11</v>
      </c>
      <c r="M880">
        <v>22</v>
      </c>
      <c r="N880" t="s">
        <v>37</v>
      </c>
      <c r="O880" t="s">
        <v>13</v>
      </c>
      <c r="P880" t="s">
        <v>49</v>
      </c>
      <c r="Q880" t="s">
        <v>26</v>
      </c>
    </row>
    <row r="881" spans="1:17" x14ac:dyDescent="0.35">
      <c r="A881">
        <v>892</v>
      </c>
      <c r="B881">
        <v>9</v>
      </c>
      <c r="C881">
        <v>19</v>
      </c>
      <c r="D881">
        <v>9</v>
      </c>
      <c r="E881" s="1">
        <v>46300.583333333343</v>
      </c>
      <c r="F881">
        <v>5</v>
      </c>
      <c r="G881">
        <v>40</v>
      </c>
      <c r="H881" t="s">
        <v>22</v>
      </c>
      <c r="I881" t="s">
        <v>18</v>
      </c>
      <c r="J881">
        <v>8</v>
      </c>
      <c r="K881">
        <v>2026</v>
      </c>
      <c r="L881">
        <v>10</v>
      </c>
      <c r="M881">
        <v>14</v>
      </c>
      <c r="N881" t="s">
        <v>33</v>
      </c>
      <c r="O881" t="s">
        <v>13</v>
      </c>
      <c r="P881" t="s">
        <v>58</v>
      </c>
      <c r="Q881" t="s">
        <v>30</v>
      </c>
    </row>
    <row r="882" spans="1:17" x14ac:dyDescent="0.35">
      <c r="A882">
        <v>893</v>
      </c>
      <c r="B882">
        <v>1</v>
      </c>
      <c r="C882">
        <v>4</v>
      </c>
      <c r="D882">
        <v>7</v>
      </c>
      <c r="E882" s="1">
        <v>46386.75</v>
      </c>
      <c r="F882">
        <v>5</v>
      </c>
      <c r="G882">
        <v>40</v>
      </c>
      <c r="H882" t="s">
        <v>22</v>
      </c>
      <c r="I882" t="s">
        <v>18</v>
      </c>
      <c r="J882">
        <v>8</v>
      </c>
      <c r="K882">
        <v>2026</v>
      </c>
      <c r="L882">
        <v>12</v>
      </c>
      <c r="M882">
        <v>18</v>
      </c>
      <c r="N882" t="s">
        <v>19</v>
      </c>
      <c r="O882" t="s">
        <v>13</v>
      </c>
      <c r="P882" t="s">
        <v>55</v>
      </c>
      <c r="Q882" t="s">
        <v>35</v>
      </c>
    </row>
    <row r="883" spans="1:17" x14ac:dyDescent="0.35">
      <c r="A883">
        <v>894</v>
      </c>
      <c r="B883">
        <v>3</v>
      </c>
      <c r="C883">
        <v>15</v>
      </c>
      <c r="D883">
        <v>2</v>
      </c>
      <c r="E883" s="1">
        <v>46317.645833333343</v>
      </c>
      <c r="F883">
        <v>1</v>
      </c>
      <c r="G883">
        <v>8</v>
      </c>
      <c r="H883" t="s">
        <v>22</v>
      </c>
      <c r="I883" t="s">
        <v>31</v>
      </c>
      <c r="J883">
        <v>8</v>
      </c>
      <c r="K883">
        <v>2026</v>
      </c>
      <c r="L883">
        <v>10</v>
      </c>
      <c r="M883">
        <v>15</v>
      </c>
      <c r="N883" t="s">
        <v>41</v>
      </c>
      <c r="O883" t="s">
        <v>13</v>
      </c>
      <c r="P883" t="s">
        <v>38</v>
      </c>
      <c r="Q883" t="s">
        <v>54</v>
      </c>
    </row>
    <row r="884" spans="1:17" x14ac:dyDescent="0.35">
      <c r="A884">
        <v>895</v>
      </c>
      <c r="B884">
        <v>20</v>
      </c>
      <c r="C884">
        <v>16</v>
      </c>
      <c r="D884">
        <v>7</v>
      </c>
      <c r="E884" s="1">
        <v>46199.875</v>
      </c>
      <c r="F884">
        <v>1</v>
      </c>
      <c r="G884">
        <v>9</v>
      </c>
      <c r="H884" t="s">
        <v>22</v>
      </c>
      <c r="I884" t="s">
        <v>18</v>
      </c>
      <c r="J884">
        <v>9</v>
      </c>
      <c r="K884">
        <v>2026</v>
      </c>
      <c r="L884">
        <v>6</v>
      </c>
      <c r="M884">
        <v>21</v>
      </c>
      <c r="N884" t="s">
        <v>43</v>
      </c>
      <c r="O884" t="s">
        <v>13</v>
      </c>
      <c r="P884" t="s">
        <v>51</v>
      </c>
      <c r="Q884" t="s">
        <v>35</v>
      </c>
    </row>
    <row r="885" spans="1:17" x14ac:dyDescent="0.35">
      <c r="A885">
        <v>896</v>
      </c>
      <c r="B885">
        <v>8</v>
      </c>
      <c r="C885">
        <v>13</v>
      </c>
      <c r="D885">
        <v>5</v>
      </c>
      <c r="E885" s="1">
        <v>46313.791666666657</v>
      </c>
      <c r="F885">
        <v>6</v>
      </c>
      <c r="G885">
        <v>54</v>
      </c>
      <c r="H885" t="s">
        <v>22</v>
      </c>
      <c r="I885" t="s">
        <v>18</v>
      </c>
      <c r="J885">
        <v>9</v>
      </c>
      <c r="K885">
        <v>2026</v>
      </c>
      <c r="L885">
        <v>10</v>
      </c>
      <c r="M885">
        <v>19</v>
      </c>
      <c r="N885" t="s">
        <v>28</v>
      </c>
      <c r="O885" t="s">
        <v>24</v>
      </c>
      <c r="P885" t="s">
        <v>49</v>
      </c>
      <c r="Q885" t="s">
        <v>50</v>
      </c>
    </row>
    <row r="886" spans="1:17" x14ac:dyDescent="0.35">
      <c r="A886">
        <v>897</v>
      </c>
      <c r="B886">
        <v>7</v>
      </c>
      <c r="C886">
        <v>9</v>
      </c>
      <c r="D886">
        <v>7</v>
      </c>
      <c r="E886" s="1">
        <v>46229.625</v>
      </c>
      <c r="F886">
        <v>3</v>
      </c>
      <c r="G886">
        <v>27</v>
      </c>
      <c r="H886" t="s">
        <v>17</v>
      </c>
      <c r="I886" t="s">
        <v>18</v>
      </c>
      <c r="J886">
        <v>9</v>
      </c>
      <c r="K886">
        <v>2026</v>
      </c>
      <c r="L886">
        <v>7</v>
      </c>
      <c r="M886">
        <v>15</v>
      </c>
      <c r="N886" t="s">
        <v>28</v>
      </c>
      <c r="O886" t="s">
        <v>24</v>
      </c>
      <c r="P886" t="s">
        <v>48</v>
      </c>
      <c r="Q886" t="s">
        <v>35</v>
      </c>
    </row>
    <row r="887" spans="1:17" x14ac:dyDescent="0.35">
      <c r="A887">
        <v>898</v>
      </c>
      <c r="B887">
        <v>11</v>
      </c>
      <c r="C887">
        <v>17</v>
      </c>
      <c r="D887">
        <v>10</v>
      </c>
      <c r="E887" s="1">
        <v>46145.75</v>
      </c>
      <c r="F887">
        <v>6</v>
      </c>
      <c r="G887">
        <v>54</v>
      </c>
      <c r="H887" t="s">
        <v>22</v>
      </c>
      <c r="I887" t="s">
        <v>31</v>
      </c>
      <c r="J887">
        <v>9</v>
      </c>
      <c r="K887">
        <v>2026</v>
      </c>
      <c r="L887">
        <v>5</v>
      </c>
      <c r="M887">
        <v>18</v>
      </c>
      <c r="N887" t="s">
        <v>28</v>
      </c>
      <c r="O887" t="s">
        <v>24</v>
      </c>
      <c r="P887" t="s">
        <v>56</v>
      </c>
      <c r="Q887" t="s">
        <v>32</v>
      </c>
    </row>
    <row r="888" spans="1:17" x14ac:dyDescent="0.35">
      <c r="A888">
        <v>899</v>
      </c>
      <c r="B888">
        <v>5</v>
      </c>
      <c r="C888">
        <v>6</v>
      </c>
      <c r="D888">
        <v>3</v>
      </c>
      <c r="E888" s="1">
        <v>46297.729166666657</v>
      </c>
      <c r="F888">
        <v>6</v>
      </c>
      <c r="G888">
        <v>48</v>
      </c>
      <c r="H888" t="s">
        <v>22</v>
      </c>
      <c r="I888" t="s">
        <v>27</v>
      </c>
      <c r="J888">
        <v>8</v>
      </c>
      <c r="K888">
        <v>2026</v>
      </c>
      <c r="L888">
        <v>10</v>
      </c>
      <c r="M888">
        <v>17</v>
      </c>
      <c r="N888" t="s">
        <v>43</v>
      </c>
      <c r="O888" t="s">
        <v>13</v>
      </c>
      <c r="P888" t="s">
        <v>52</v>
      </c>
      <c r="Q888" t="s">
        <v>45</v>
      </c>
    </row>
    <row r="889" spans="1:17" x14ac:dyDescent="0.35">
      <c r="A889">
        <v>900</v>
      </c>
      <c r="B889">
        <v>16</v>
      </c>
      <c r="C889">
        <v>7</v>
      </c>
      <c r="D889">
        <v>4</v>
      </c>
      <c r="E889" s="1">
        <v>46379.979166666657</v>
      </c>
      <c r="F889">
        <v>4</v>
      </c>
      <c r="G889">
        <v>36</v>
      </c>
      <c r="H889" t="s">
        <v>22</v>
      </c>
      <c r="I889" t="s">
        <v>31</v>
      </c>
      <c r="J889">
        <v>9</v>
      </c>
      <c r="K889">
        <v>2026</v>
      </c>
      <c r="L889">
        <v>12</v>
      </c>
      <c r="M889">
        <v>23</v>
      </c>
      <c r="N889" t="s">
        <v>19</v>
      </c>
      <c r="O889" t="s">
        <v>13</v>
      </c>
      <c r="P889" t="s">
        <v>34</v>
      </c>
      <c r="Q889" t="s">
        <v>26</v>
      </c>
    </row>
    <row r="890" spans="1:17" x14ac:dyDescent="0.35">
      <c r="A890">
        <v>901</v>
      </c>
      <c r="B890">
        <v>11</v>
      </c>
      <c r="C890">
        <v>9</v>
      </c>
      <c r="D890">
        <v>10</v>
      </c>
      <c r="E890" s="1">
        <v>46149.895833333343</v>
      </c>
      <c r="F890">
        <v>3</v>
      </c>
      <c r="G890">
        <v>27</v>
      </c>
      <c r="H890" t="s">
        <v>22</v>
      </c>
      <c r="I890" t="s">
        <v>18</v>
      </c>
      <c r="J890">
        <v>9</v>
      </c>
      <c r="K890">
        <v>2026</v>
      </c>
      <c r="L890">
        <v>5</v>
      </c>
      <c r="M890">
        <v>21</v>
      </c>
      <c r="N890" t="s">
        <v>41</v>
      </c>
      <c r="O890" t="s">
        <v>13</v>
      </c>
      <c r="P890" t="s">
        <v>48</v>
      </c>
      <c r="Q890" t="s">
        <v>32</v>
      </c>
    </row>
    <row r="891" spans="1:17" x14ac:dyDescent="0.35">
      <c r="A891">
        <v>902</v>
      </c>
      <c r="B891">
        <v>8</v>
      </c>
      <c r="C891">
        <v>11</v>
      </c>
      <c r="D891">
        <v>3</v>
      </c>
      <c r="E891" s="1">
        <v>46052.8125</v>
      </c>
      <c r="F891">
        <v>1</v>
      </c>
      <c r="G891">
        <v>8</v>
      </c>
      <c r="H891" t="s">
        <v>22</v>
      </c>
      <c r="I891" t="s">
        <v>18</v>
      </c>
      <c r="J891">
        <v>8</v>
      </c>
      <c r="K891">
        <v>2026</v>
      </c>
      <c r="L891">
        <v>1</v>
      </c>
      <c r="M891">
        <v>19</v>
      </c>
      <c r="N891" t="s">
        <v>43</v>
      </c>
      <c r="O891" t="s">
        <v>13</v>
      </c>
      <c r="P891" t="s">
        <v>59</v>
      </c>
      <c r="Q891" t="s">
        <v>45</v>
      </c>
    </row>
    <row r="892" spans="1:17" x14ac:dyDescent="0.35">
      <c r="A892">
        <v>903</v>
      </c>
      <c r="B892">
        <v>10</v>
      </c>
      <c r="C892">
        <v>9</v>
      </c>
      <c r="D892">
        <v>2</v>
      </c>
      <c r="E892" s="1">
        <v>46082.645833333343</v>
      </c>
      <c r="F892">
        <v>5</v>
      </c>
      <c r="G892">
        <v>45</v>
      </c>
      <c r="H892" t="s">
        <v>22</v>
      </c>
      <c r="I892" t="s">
        <v>31</v>
      </c>
      <c r="J892">
        <v>9</v>
      </c>
      <c r="K892">
        <v>2026</v>
      </c>
      <c r="L892">
        <v>3</v>
      </c>
      <c r="M892">
        <v>15</v>
      </c>
      <c r="N892" t="s">
        <v>28</v>
      </c>
      <c r="O892" t="s">
        <v>24</v>
      </c>
      <c r="P892" t="s">
        <v>48</v>
      </c>
      <c r="Q892" t="s">
        <v>54</v>
      </c>
    </row>
    <row r="893" spans="1:17" x14ac:dyDescent="0.35">
      <c r="A893">
        <v>904</v>
      </c>
      <c r="B893">
        <v>12</v>
      </c>
      <c r="C893">
        <v>4</v>
      </c>
      <c r="D893">
        <v>3</v>
      </c>
      <c r="E893" s="1">
        <v>46079.895833333343</v>
      </c>
      <c r="F893">
        <v>6</v>
      </c>
      <c r="G893">
        <v>54</v>
      </c>
      <c r="H893" t="s">
        <v>22</v>
      </c>
      <c r="I893" t="s">
        <v>27</v>
      </c>
      <c r="J893">
        <v>9</v>
      </c>
      <c r="K893">
        <v>2026</v>
      </c>
      <c r="L893">
        <v>2</v>
      </c>
      <c r="M893">
        <v>21</v>
      </c>
      <c r="N893" t="s">
        <v>41</v>
      </c>
      <c r="O893" t="s">
        <v>13</v>
      </c>
      <c r="P893" t="s">
        <v>55</v>
      </c>
      <c r="Q893" t="s">
        <v>45</v>
      </c>
    </row>
    <row r="894" spans="1:17" x14ac:dyDescent="0.35">
      <c r="A894">
        <v>905</v>
      </c>
      <c r="B894">
        <v>18</v>
      </c>
      <c r="C894">
        <v>16</v>
      </c>
      <c r="D894">
        <v>3</v>
      </c>
      <c r="E894" s="1">
        <v>46139.791666666657</v>
      </c>
      <c r="F894">
        <v>2</v>
      </c>
      <c r="G894">
        <v>16</v>
      </c>
      <c r="H894" t="s">
        <v>22</v>
      </c>
      <c r="I894" t="s">
        <v>27</v>
      </c>
      <c r="J894">
        <v>8</v>
      </c>
      <c r="K894">
        <v>2026</v>
      </c>
      <c r="L894">
        <v>4</v>
      </c>
      <c r="M894">
        <v>19</v>
      </c>
      <c r="N894" t="s">
        <v>33</v>
      </c>
      <c r="O894" t="s">
        <v>13</v>
      </c>
      <c r="P894" t="s">
        <v>51</v>
      </c>
      <c r="Q894" t="s">
        <v>45</v>
      </c>
    </row>
    <row r="895" spans="1:17" x14ac:dyDescent="0.35">
      <c r="A895">
        <v>906</v>
      </c>
      <c r="B895">
        <v>7</v>
      </c>
      <c r="C895">
        <v>7</v>
      </c>
      <c r="D895">
        <v>7</v>
      </c>
      <c r="E895" s="1">
        <v>46044.916666666657</v>
      </c>
      <c r="F895">
        <v>5</v>
      </c>
      <c r="G895">
        <v>45</v>
      </c>
      <c r="H895" t="s">
        <v>22</v>
      </c>
      <c r="I895" t="s">
        <v>31</v>
      </c>
      <c r="J895">
        <v>9</v>
      </c>
      <c r="K895">
        <v>2026</v>
      </c>
      <c r="L895">
        <v>1</v>
      </c>
      <c r="M895">
        <v>22</v>
      </c>
      <c r="N895" t="s">
        <v>41</v>
      </c>
      <c r="O895" t="s">
        <v>13</v>
      </c>
      <c r="P895" t="s">
        <v>34</v>
      </c>
      <c r="Q895" t="s">
        <v>35</v>
      </c>
    </row>
    <row r="896" spans="1:17" x14ac:dyDescent="0.35">
      <c r="A896">
        <v>907</v>
      </c>
      <c r="B896">
        <v>17</v>
      </c>
      <c r="C896">
        <v>14</v>
      </c>
      <c r="D896">
        <v>2</v>
      </c>
      <c r="E896" s="1">
        <v>46256.791666666657</v>
      </c>
      <c r="F896">
        <v>4</v>
      </c>
      <c r="G896">
        <v>36</v>
      </c>
      <c r="H896" t="s">
        <v>17</v>
      </c>
      <c r="I896" t="s">
        <v>18</v>
      </c>
      <c r="J896">
        <v>9</v>
      </c>
      <c r="K896">
        <v>2026</v>
      </c>
      <c r="L896">
        <v>8</v>
      </c>
      <c r="M896">
        <v>19</v>
      </c>
      <c r="N896" t="s">
        <v>23</v>
      </c>
      <c r="O896" t="s">
        <v>24</v>
      </c>
      <c r="P896" t="s">
        <v>29</v>
      </c>
      <c r="Q896" t="s">
        <v>54</v>
      </c>
    </row>
    <row r="897" spans="1:17" x14ac:dyDescent="0.35">
      <c r="A897">
        <v>908</v>
      </c>
      <c r="B897">
        <v>14</v>
      </c>
      <c r="C897">
        <v>4</v>
      </c>
      <c r="D897">
        <v>8</v>
      </c>
      <c r="E897" s="1">
        <v>46378.979166666657</v>
      </c>
      <c r="F897">
        <v>5</v>
      </c>
      <c r="G897">
        <v>45</v>
      </c>
      <c r="H897" t="s">
        <v>22</v>
      </c>
      <c r="I897" t="s">
        <v>18</v>
      </c>
      <c r="J897">
        <v>9</v>
      </c>
      <c r="K897">
        <v>2026</v>
      </c>
      <c r="L897">
        <v>12</v>
      </c>
      <c r="M897">
        <v>23</v>
      </c>
      <c r="N897" t="s">
        <v>37</v>
      </c>
      <c r="O897" t="s">
        <v>13</v>
      </c>
      <c r="P897" t="s">
        <v>55</v>
      </c>
      <c r="Q897" t="s">
        <v>46</v>
      </c>
    </row>
    <row r="898" spans="1:17" x14ac:dyDescent="0.35">
      <c r="A898">
        <v>909</v>
      </c>
      <c r="B898">
        <v>9</v>
      </c>
      <c r="C898">
        <v>11</v>
      </c>
      <c r="D898">
        <v>5</v>
      </c>
      <c r="E898" s="1">
        <v>46275.833333333343</v>
      </c>
      <c r="F898">
        <v>4</v>
      </c>
      <c r="G898">
        <v>32</v>
      </c>
      <c r="H898" t="s">
        <v>22</v>
      </c>
      <c r="I898" t="s">
        <v>27</v>
      </c>
      <c r="J898">
        <v>8</v>
      </c>
      <c r="K898">
        <v>2026</v>
      </c>
      <c r="L898">
        <v>9</v>
      </c>
      <c r="M898">
        <v>20</v>
      </c>
      <c r="N898" t="s">
        <v>41</v>
      </c>
      <c r="O898" t="s">
        <v>13</v>
      </c>
      <c r="P898" t="s">
        <v>59</v>
      </c>
      <c r="Q898" t="s">
        <v>50</v>
      </c>
    </row>
    <row r="899" spans="1:17" x14ac:dyDescent="0.35">
      <c r="A899">
        <v>910</v>
      </c>
      <c r="B899">
        <v>7</v>
      </c>
      <c r="C899">
        <v>20</v>
      </c>
      <c r="D899">
        <v>4</v>
      </c>
      <c r="E899" s="1">
        <v>46088.9375</v>
      </c>
      <c r="F899">
        <v>5</v>
      </c>
      <c r="G899">
        <v>50</v>
      </c>
      <c r="H899" t="s">
        <v>17</v>
      </c>
      <c r="I899" t="s">
        <v>31</v>
      </c>
      <c r="J899">
        <v>10</v>
      </c>
      <c r="K899">
        <v>2026</v>
      </c>
      <c r="L899">
        <v>3</v>
      </c>
      <c r="M899">
        <v>22</v>
      </c>
      <c r="N899" t="s">
        <v>23</v>
      </c>
      <c r="O899" t="s">
        <v>24</v>
      </c>
      <c r="P899" t="s">
        <v>36</v>
      </c>
      <c r="Q899" t="s">
        <v>26</v>
      </c>
    </row>
    <row r="900" spans="1:17" x14ac:dyDescent="0.35">
      <c r="A900">
        <v>911</v>
      </c>
      <c r="B900">
        <v>8</v>
      </c>
      <c r="C900">
        <v>8</v>
      </c>
      <c r="D900">
        <v>7</v>
      </c>
      <c r="E900" s="1">
        <v>46293.6875</v>
      </c>
      <c r="F900">
        <v>5</v>
      </c>
      <c r="G900">
        <v>40</v>
      </c>
      <c r="H900" t="s">
        <v>22</v>
      </c>
      <c r="I900" t="s">
        <v>27</v>
      </c>
      <c r="J900">
        <v>8</v>
      </c>
      <c r="K900">
        <v>2026</v>
      </c>
      <c r="L900">
        <v>9</v>
      </c>
      <c r="M900">
        <v>16</v>
      </c>
      <c r="N900" t="s">
        <v>33</v>
      </c>
      <c r="O900" t="s">
        <v>13</v>
      </c>
      <c r="P900" t="s">
        <v>42</v>
      </c>
      <c r="Q900" t="s">
        <v>35</v>
      </c>
    </row>
    <row r="901" spans="1:17" x14ac:dyDescent="0.35">
      <c r="A901">
        <v>912</v>
      </c>
      <c r="B901">
        <v>3</v>
      </c>
      <c r="C901">
        <v>5</v>
      </c>
      <c r="D901">
        <v>2</v>
      </c>
      <c r="E901" s="1">
        <v>46137.979166666657</v>
      </c>
      <c r="F901">
        <v>1</v>
      </c>
      <c r="G901">
        <v>10</v>
      </c>
      <c r="H901" t="s">
        <v>22</v>
      </c>
      <c r="I901" t="s">
        <v>27</v>
      </c>
      <c r="J901">
        <v>10</v>
      </c>
      <c r="K901">
        <v>2026</v>
      </c>
      <c r="L901">
        <v>4</v>
      </c>
      <c r="M901">
        <v>23</v>
      </c>
      <c r="N901" t="s">
        <v>23</v>
      </c>
      <c r="O901" t="s">
        <v>24</v>
      </c>
      <c r="P901" t="s">
        <v>53</v>
      </c>
      <c r="Q901" t="s">
        <v>54</v>
      </c>
    </row>
    <row r="902" spans="1:17" x14ac:dyDescent="0.35">
      <c r="A902">
        <v>913</v>
      </c>
      <c r="B902">
        <v>15</v>
      </c>
      <c r="C902">
        <v>11</v>
      </c>
      <c r="D902">
        <v>10</v>
      </c>
      <c r="E902" s="1">
        <v>46228.708333333343</v>
      </c>
      <c r="F902">
        <v>4</v>
      </c>
      <c r="G902">
        <v>36</v>
      </c>
      <c r="H902" t="s">
        <v>22</v>
      </c>
      <c r="I902" t="s">
        <v>18</v>
      </c>
      <c r="J902">
        <v>9</v>
      </c>
      <c r="K902">
        <v>2026</v>
      </c>
      <c r="L902">
        <v>7</v>
      </c>
      <c r="M902">
        <v>17</v>
      </c>
      <c r="N902" t="s">
        <v>23</v>
      </c>
      <c r="O902" t="s">
        <v>24</v>
      </c>
      <c r="P902" t="s">
        <v>59</v>
      </c>
      <c r="Q902" t="s">
        <v>32</v>
      </c>
    </row>
    <row r="903" spans="1:17" x14ac:dyDescent="0.35">
      <c r="A903">
        <v>914</v>
      </c>
      <c r="B903">
        <v>1</v>
      </c>
      <c r="C903">
        <v>15</v>
      </c>
      <c r="D903">
        <v>1</v>
      </c>
      <c r="E903" s="1">
        <v>46067.854166666657</v>
      </c>
      <c r="F903">
        <v>1</v>
      </c>
      <c r="G903">
        <v>9</v>
      </c>
      <c r="H903" t="s">
        <v>22</v>
      </c>
      <c r="I903" t="s">
        <v>18</v>
      </c>
      <c r="J903">
        <v>9</v>
      </c>
      <c r="K903">
        <v>2026</v>
      </c>
      <c r="L903">
        <v>2</v>
      </c>
      <c r="M903">
        <v>20</v>
      </c>
      <c r="N903" t="s">
        <v>23</v>
      </c>
      <c r="O903" t="s">
        <v>24</v>
      </c>
      <c r="P903" t="s">
        <v>38</v>
      </c>
      <c r="Q903" t="s">
        <v>40</v>
      </c>
    </row>
    <row r="904" spans="1:17" x14ac:dyDescent="0.35">
      <c r="A904">
        <v>915</v>
      </c>
      <c r="B904">
        <v>10</v>
      </c>
      <c r="C904">
        <v>18</v>
      </c>
      <c r="D904">
        <v>8</v>
      </c>
      <c r="E904" s="1">
        <v>46189.708333333343</v>
      </c>
      <c r="F904">
        <v>4</v>
      </c>
      <c r="G904">
        <v>32</v>
      </c>
      <c r="H904" t="s">
        <v>17</v>
      </c>
      <c r="I904" t="s">
        <v>27</v>
      </c>
      <c r="J904">
        <v>8</v>
      </c>
      <c r="K904">
        <v>2026</v>
      </c>
      <c r="L904">
        <v>6</v>
      </c>
      <c r="M904">
        <v>17</v>
      </c>
      <c r="N904" t="s">
        <v>37</v>
      </c>
      <c r="O904" t="s">
        <v>13</v>
      </c>
      <c r="P904" t="s">
        <v>47</v>
      </c>
      <c r="Q904" t="s">
        <v>46</v>
      </c>
    </row>
    <row r="905" spans="1:17" x14ac:dyDescent="0.35">
      <c r="A905">
        <v>916</v>
      </c>
      <c r="B905">
        <v>2</v>
      </c>
      <c r="C905">
        <v>11</v>
      </c>
      <c r="D905">
        <v>4</v>
      </c>
      <c r="E905" s="1">
        <v>46346.979166666657</v>
      </c>
      <c r="F905">
        <v>4</v>
      </c>
      <c r="G905">
        <v>36</v>
      </c>
      <c r="H905" t="s">
        <v>22</v>
      </c>
      <c r="I905" t="s">
        <v>18</v>
      </c>
      <c r="J905">
        <v>9</v>
      </c>
      <c r="K905">
        <v>2026</v>
      </c>
      <c r="L905">
        <v>11</v>
      </c>
      <c r="M905">
        <v>23</v>
      </c>
      <c r="N905" t="s">
        <v>43</v>
      </c>
      <c r="O905" t="s">
        <v>13</v>
      </c>
      <c r="P905" t="s">
        <v>59</v>
      </c>
      <c r="Q905" t="s">
        <v>26</v>
      </c>
    </row>
    <row r="906" spans="1:17" x14ac:dyDescent="0.35">
      <c r="A906">
        <v>917</v>
      </c>
      <c r="B906">
        <v>10</v>
      </c>
      <c r="C906">
        <v>19</v>
      </c>
      <c r="D906">
        <v>3</v>
      </c>
      <c r="E906" s="1">
        <v>46063.583333333343</v>
      </c>
      <c r="F906">
        <v>6</v>
      </c>
      <c r="G906">
        <v>48</v>
      </c>
      <c r="H906" t="s">
        <v>22</v>
      </c>
      <c r="I906" t="s">
        <v>31</v>
      </c>
      <c r="J906">
        <v>8</v>
      </c>
      <c r="K906">
        <v>2026</v>
      </c>
      <c r="L906">
        <v>2</v>
      </c>
      <c r="M906">
        <v>14</v>
      </c>
      <c r="N906" t="s">
        <v>37</v>
      </c>
      <c r="O906" t="s">
        <v>13</v>
      </c>
      <c r="P906" t="s">
        <v>58</v>
      </c>
      <c r="Q906" t="s">
        <v>45</v>
      </c>
    </row>
    <row r="907" spans="1:17" x14ac:dyDescent="0.35">
      <c r="A907">
        <v>918</v>
      </c>
      <c r="B907">
        <v>14</v>
      </c>
      <c r="C907">
        <v>12</v>
      </c>
      <c r="D907">
        <v>5</v>
      </c>
      <c r="E907" s="1">
        <v>46355.666666666657</v>
      </c>
      <c r="F907">
        <v>6</v>
      </c>
      <c r="G907">
        <v>54</v>
      </c>
      <c r="H907" t="s">
        <v>22</v>
      </c>
      <c r="I907" t="s">
        <v>18</v>
      </c>
      <c r="J907">
        <v>9</v>
      </c>
      <c r="K907">
        <v>2026</v>
      </c>
      <c r="L907">
        <v>11</v>
      </c>
      <c r="M907">
        <v>16</v>
      </c>
      <c r="N907" t="s">
        <v>28</v>
      </c>
      <c r="O907" t="s">
        <v>24</v>
      </c>
      <c r="P907" t="s">
        <v>57</v>
      </c>
      <c r="Q907" t="s">
        <v>50</v>
      </c>
    </row>
    <row r="908" spans="1:17" x14ac:dyDescent="0.35">
      <c r="A908">
        <v>919</v>
      </c>
      <c r="B908">
        <v>11</v>
      </c>
      <c r="C908">
        <v>16</v>
      </c>
      <c r="D908">
        <v>6</v>
      </c>
      <c r="E908" s="1">
        <v>46041.604166666657</v>
      </c>
      <c r="F908">
        <v>3</v>
      </c>
      <c r="G908">
        <v>24</v>
      </c>
      <c r="H908" t="s">
        <v>22</v>
      </c>
      <c r="I908" t="s">
        <v>31</v>
      </c>
      <c r="J908">
        <v>8</v>
      </c>
      <c r="K908">
        <v>2026</v>
      </c>
      <c r="L908">
        <v>1</v>
      </c>
      <c r="M908">
        <v>14</v>
      </c>
      <c r="N908" t="s">
        <v>33</v>
      </c>
      <c r="O908" t="s">
        <v>13</v>
      </c>
      <c r="P908" t="s">
        <v>51</v>
      </c>
      <c r="Q908" t="s">
        <v>21</v>
      </c>
    </row>
    <row r="909" spans="1:17" x14ac:dyDescent="0.35">
      <c r="A909">
        <v>920</v>
      </c>
      <c r="B909">
        <v>9</v>
      </c>
      <c r="C909">
        <v>1</v>
      </c>
      <c r="D909">
        <v>6</v>
      </c>
      <c r="E909" s="1">
        <v>46130.604166666657</v>
      </c>
      <c r="F909">
        <v>5</v>
      </c>
      <c r="G909">
        <v>45</v>
      </c>
      <c r="H909" t="s">
        <v>22</v>
      </c>
      <c r="I909" t="s">
        <v>27</v>
      </c>
      <c r="J909">
        <v>9</v>
      </c>
      <c r="K909">
        <v>2026</v>
      </c>
      <c r="L909">
        <v>4</v>
      </c>
      <c r="M909">
        <v>14</v>
      </c>
      <c r="N909" t="s">
        <v>23</v>
      </c>
      <c r="O909" t="s">
        <v>24</v>
      </c>
      <c r="P909" t="s">
        <v>39</v>
      </c>
      <c r="Q909" t="s">
        <v>21</v>
      </c>
    </row>
    <row r="910" spans="1:17" x14ac:dyDescent="0.35">
      <c r="A910">
        <v>921</v>
      </c>
      <c r="B910">
        <v>16</v>
      </c>
      <c r="C910">
        <v>6</v>
      </c>
      <c r="D910">
        <v>8</v>
      </c>
      <c r="E910" s="1">
        <v>46060.958333333343</v>
      </c>
      <c r="F910">
        <v>4</v>
      </c>
      <c r="G910">
        <v>40</v>
      </c>
      <c r="H910" t="s">
        <v>22</v>
      </c>
      <c r="I910" t="s">
        <v>27</v>
      </c>
      <c r="J910">
        <v>10</v>
      </c>
      <c r="K910">
        <v>2026</v>
      </c>
      <c r="L910">
        <v>2</v>
      </c>
      <c r="M910">
        <v>23</v>
      </c>
      <c r="N910" t="s">
        <v>23</v>
      </c>
      <c r="O910" t="s">
        <v>24</v>
      </c>
      <c r="P910" t="s">
        <v>52</v>
      </c>
      <c r="Q910" t="s">
        <v>46</v>
      </c>
    </row>
    <row r="911" spans="1:17" x14ac:dyDescent="0.35">
      <c r="A911">
        <v>922</v>
      </c>
      <c r="B911">
        <v>19</v>
      </c>
      <c r="C911">
        <v>20</v>
      </c>
      <c r="D911">
        <v>4</v>
      </c>
      <c r="E911" s="1">
        <v>46167.666666666657</v>
      </c>
      <c r="F911">
        <v>6</v>
      </c>
      <c r="G911">
        <v>48</v>
      </c>
      <c r="H911" t="s">
        <v>22</v>
      </c>
      <c r="I911" t="s">
        <v>18</v>
      </c>
      <c r="J911">
        <v>8</v>
      </c>
      <c r="K911">
        <v>2026</v>
      </c>
      <c r="L911">
        <v>5</v>
      </c>
      <c r="M911">
        <v>16</v>
      </c>
      <c r="N911" t="s">
        <v>33</v>
      </c>
      <c r="O911" t="s">
        <v>13</v>
      </c>
      <c r="P911" t="s">
        <v>36</v>
      </c>
      <c r="Q911" t="s">
        <v>26</v>
      </c>
    </row>
    <row r="912" spans="1:17" x14ac:dyDescent="0.35">
      <c r="A912">
        <v>923</v>
      </c>
      <c r="B912">
        <v>13</v>
      </c>
      <c r="C912">
        <v>6</v>
      </c>
      <c r="D912">
        <v>10</v>
      </c>
      <c r="E912" s="1">
        <v>46229.854166666657</v>
      </c>
      <c r="F912">
        <v>3</v>
      </c>
      <c r="G912">
        <v>27</v>
      </c>
      <c r="H912" t="s">
        <v>22</v>
      </c>
      <c r="I912" t="s">
        <v>18</v>
      </c>
      <c r="J912">
        <v>9</v>
      </c>
      <c r="K912">
        <v>2026</v>
      </c>
      <c r="L912">
        <v>7</v>
      </c>
      <c r="M912">
        <v>20</v>
      </c>
      <c r="N912" t="s">
        <v>28</v>
      </c>
      <c r="O912" t="s">
        <v>24</v>
      </c>
      <c r="P912" t="s">
        <v>52</v>
      </c>
      <c r="Q912" t="s">
        <v>32</v>
      </c>
    </row>
    <row r="913" spans="1:17" x14ac:dyDescent="0.35">
      <c r="A913">
        <v>924</v>
      </c>
      <c r="B913">
        <v>9</v>
      </c>
      <c r="C913">
        <v>16</v>
      </c>
      <c r="D913">
        <v>10</v>
      </c>
      <c r="E913" s="1">
        <v>46317.770833333343</v>
      </c>
      <c r="F913">
        <v>1</v>
      </c>
      <c r="G913">
        <v>8</v>
      </c>
      <c r="H913" t="s">
        <v>22</v>
      </c>
      <c r="I913" t="s">
        <v>31</v>
      </c>
      <c r="J913">
        <v>8</v>
      </c>
      <c r="K913">
        <v>2026</v>
      </c>
      <c r="L913">
        <v>10</v>
      </c>
      <c r="M913">
        <v>18</v>
      </c>
      <c r="N913" t="s">
        <v>41</v>
      </c>
      <c r="O913" t="s">
        <v>13</v>
      </c>
      <c r="P913" t="s">
        <v>51</v>
      </c>
      <c r="Q913" t="s">
        <v>32</v>
      </c>
    </row>
    <row r="914" spans="1:17" x14ac:dyDescent="0.35">
      <c r="A914">
        <v>925</v>
      </c>
      <c r="B914">
        <v>12</v>
      </c>
      <c r="C914">
        <v>8</v>
      </c>
      <c r="D914">
        <v>6</v>
      </c>
      <c r="E914" s="1">
        <v>46071.6875</v>
      </c>
      <c r="F914">
        <v>4</v>
      </c>
      <c r="G914">
        <v>32</v>
      </c>
      <c r="H914" t="s">
        <v>22</v>
      </c>
      <c r="I914" t="s">
        <v>18</v>
      </c>
      <c r="J914">
        <v>8</v>
      </c>
      <c r="K914">
        <v>2026</v>
      </c>
      <c r="L914">
        <v>2</v>
      </c>
      <c r="M914">
        <v>16</v>
      </c>
      <c r="N914" t="s">
        <v>19</v>
      </c>
      <c r="O914" t="s">
        <v>13</v>
      </c>
      <c r="P914" t="s">
        <v>42</v>
      </c>
      <c r="Q914" t="s">
        <v>21</v>
      </c>
    </row>
    <row r="915" spans="1:17" x14ac:dyDescent="0.35">
      <c r="A915">
        <v>926</v>
      </c>
      <c r="B915">
        <v>3</v>
      </c>
      <c r="C915">
        <v>15</v>
      </c>
      <c r="D915">
        <v>3</v>
      </c>
      <c r="E915" s="1">
        <v>46170.9375</v>
      </c>
      <c r="F915">
        <v>3</v>
      </c>
      <c r="G915">
        <v>27</v>
      </c>
      <c r="H915" t="s">
        <v>22</v>
      </c>
      <c r="I915" t="s">
        <v>31</v>
      </c>
      <c r="J915">
        <v>9</v>
      </c>
      <c r="K915">
        <v>2026</v>
      </c>
      <c r="L915">
        <v>5</v>
      </c>
      <c r="M915">
        <v>22</v>
      </c>
      <c r="N915" t="s">
        <v>41</v>
      </c>
      <c r="O915" t="s">
        <v>13</v>
      </c>
      <c r="P915" t="s">
        <v>38</v>
      </c>
      <c r="Q915" t="s">
        <v>45</v>
      </c>
    </row>
    <row r="916" spans="1:17" x14ac:dyDescent="0.35">
      <c r="A916">
        <v>927</v>
      </c>
      <c r="B916">
        <v>14</v>
      </c>
      <c r="C916">
        <v>3</v>
      </c>
      <c r="D916">
        <v>3</v>
      </c>
      <c r="E916" s="1">
        <v>46128.666666666657</v>
      </c>
      <c r="F916">
        <v>4</v>
      </c>
      <c r="G916">
        <v>32</v>
      </c>
      <c r="H916" t="s">
        <v>22</v>
      </c>
      <c r="I916" t="s">
        <v>27</v>
      </c>
      <c r="J916">
        <v>8</v>
      </c>
      <c r="K916">
        <v>2026</v>
      </c>
      <c r="L916">
        <v>4</v>
      </c>
      <c r="M916">
        <v>16</v>
      </c>
      <c r="N916" t="s">
        <v>41</v>
      </c>
      <c r="O916" t="s">
        <v>13</v>
      </c>
      <c r="P916" t="s">
        <v>20</v>
      </c>
      <c r="Q916" t="s">
        <v>45</v>
      </c>
    </row>
    <row r="917" spans="1:17" x14ac:dyDescent="0.35">
      <c r="A917">
        <v>928</v>
      </c>
      <c r="B917">
        <v>18</v>
      </c>
      <c r="C917">
        <v>20</v>
      </c>
      <c r="D917">
        <v>2</v>
      </c>
      <c r="E917" s="1">
        <v>46046.729166666657</v>
      </c>
      <c r="F917">
        <v>2</v>
      </c>
      <c r="G917">
        <v>18</v>
      </c>
      <c r="H917" t="s">
        <v>22</v>
      </c>
      <c r="I917" t="s">
        <v>27</v>
      </c>
      <c r="J917">
        <v>9</v>
      </c>
      <c r="K917">
        <v>2026</v>
      </c>
      <c r="L917">
        <v>1</v>
      </c>
      <c r="M917">
        <v>17</v>
      </c>
      <c r="N917" t="s">
        <v>23</v>
      </c>
      <c r="O917" t="s">
        <v>24</v>
      </c>
      <c r="P917" t="s">
        <v>36</v>
      </c>
      <c r="Q917" t="s">
        <v>54</v>
      </c>
    </row>
    <row r="918" spans="1:17" x14ac:dyDescent="0.35">
      <c r="A918">
        <v>929</v>
      </c>
      <c r="B918">
        <v>9</v>
      </c>
      <c r="C918">
        <v>14</v>
      </c>
      <c r="D918">
        <v>8</v>
      </c>
      <c r="E918" s="1">
        <v>46135.583333333343</v>
      </c>
      <c r="F918">
        <v>4</v>
      </c>
      <c r="G918">
        <v>32</v>
      </c>
      <c r="H918" t="s">
        <v>22</v>
      </c>
      <c r="I918" t="s">
        <v>18</v>
      </c>
      <c r="J918">
        <v>8</v>
      </c>
      <c r="K918">
        <v>2026</v>
      </c>
      <c r="L918">
        <v>4</v>
      </c>
      <c r="M918">
        <v>14</v>
      </c>
      <c r="N918" t="s">
        <v>41</v>
      </c>
      <c r="O918" t="s">
        <v>13</v>
      </c>
      <c r="P918" t="s">
        <v>29</v>
      </c>
      <c r="Q918" t="s">
        <v>46</v>
      </c>
    </row>
    <row r="919" spans="1:17" x14ac:dyDescent="0.35">
      <c r="A919">
        <v>930</v>
      </c>
      <c r="B919">
        <v>9</v>
      </c>
      <c r="C919">
        <v>17</v>
      </c>
      <c r="D919">
        <v>3</v>
      </c>
      <c r="E919" s="1">
        <v>46337.75</v>
      </c>
      <c r="F919">
        <v>5</v>
      </c>
      <c r="G919">
        <v>40</v>
      </c>
      <c r="H919" t="s">
        <v>22</v>
      </c>
      <c r="I919" t="s">
        <v>18</v>
      </c>
      <c r="J919">
        <v>8</v>
      </c>
      <c r="K919">
        <v>2026</v>
      </c>
      <c r="L919">
        <v>11</v>
      </c>
      <c r="M919">
        <v>18</v>
      </c>
      <c r="N919" t="s">
        <v>19</v>
      </c>
      <c r="O919" t="s">
        <v>13</v>
      </c>
      <c r="P919" t="s">
        <v>56</v>
      </c>
      <c r="Q919" t="s">
        <v>45</v>
      </c>
    </row>
    <row r="920" spans="1:17" x14ac:dyDescent="0.35">
      <c r="A920">
        <v>931</v>
      </c>
      <c r="B920">
        <v>20</v>
      </c>
      <c r="C920">
        <v>10</v>
      </c>
      <c r="D920">
        <v>1</v>
      </c>
      <c r="E920" s="1">
        <v>46295.979166666657</v>
      </c>
      <c r="F920">
        <v>1</v>
      </c>
      <c r="G920">
        <v>9</v>
      </c>
      <c r="H920" t="s">
        <v>22</v>
      </c>
      <c r="I920" t="s">
        <v>31</v>
      </c>
      <c r="J920">
        <v>9</v>
      </c>
      <c r="K920">
        <v>2026</v>
      </c>
      <c r="L920">
        <v>9</v>
      </c>
      <c r="M920">
        <v>23</v>
      </c>
      <c r="N920" t="s">
        <v>19</v>
      </c>
      <c r="O920" t="s">
        <v>13</v>
      </c>
      <c r="P920" t="s">
        <v>25</v>
      </c>
      <c r="Q920" t="s">
        <v>40</v>
      </c>
    </row>
    <row r="921" spans="1:17" x14ac:dyDescent="0.35">
      <c r="A921">
        <v>932</v>
      </c>
      <c r="B921">
        <v>17</v>
      </c>
      <c r="C921">
        <v>11</v>
      </c>
      <c r="D921">
        <v>2</v>
      </c>
      <c r="E921" s="1">
        <v>46094.979166666657</v>
      </c>
      <c r="F921">
        <v>1</v>
      </c>
      <c r="G921">
        <v>9</v>
      </c>
      <c r="H921" t="s">
        <v>17</v>
      </c>
      <c r="I921" t="s">
        <v>31</v>
      </c>
      <c r="J921">
        <v>9</v>
      </c>
      <c r="K921">
        <v>2026</v>
      </c>
      <c r="L921">
        <v>3</v>
      </c>
      <c r="M921">
        <v>23</v>
      </c>
      <c r="N921" t="s">
        <v>43</v>
      </c>
      <c r="O921" t="s">
        <v>13</v>
      </c>
      <c r="P921" t="s">
        <v>59</v>
      </c>
      <c r="Q921" t="s">
        <v>54</v>
      </c>
    </row>
    <row r="922" spans="1:17" x14ac:dyDescent="0.35">
      <c r="A922">
        <v>933</v>
      </c>
      <c r="B922">
        <v>16</v>
      </c>
      <c r="C922">
        <v>15</v>
      </c>
      <c r="D922">
        <v>7</v>
      </c>
      <c r="E922" s="1">
        <v>46254.583333333343</v>
      </c>
      <c r="F922">
        <v>4</v>
      </c>
      <c r="G922">
        <v>32</v>
      </c>
      <c r="H922" t="s">
        <v>22</v>
      </c>
      <c r="I922" t="s">
        <v>18</v>
      </c>
      <c r="J922">
        <v>8</v>
      </c>
      <c r="K922">
        <v>2026</v>
      </c>
      <c r="L922">
        <v>8</v>
      </c>
      <c r="M922">
        <v>14</v>
      </c>
      <c r="N922" t="s">
        <v>41</v>
      </c>
      <c r="O922" t="s">
        <v>13</v>
      </c>
      <c r="P922" t="s">
        <v>38</v>
      </c>
      <c r="Q922" t="s">
        <v>35</v>
      </c>
    </row>
    <row r="923" spans="1:17" x14ac:dyDescent="0.35">
      <c r="A923">
        <v>934</v>
      </c>
      <c r="B923">
        <v>2</v>
      </c>
      <c r="C923">
        <v>19</v>
      </c>
      <c r="D923">
        <v>7</v>
      </c>
      <c r="E923" s="1">
        <v>46039.854166666657</v>
      </c>
      <c r="F923">
        <v>6</v>
      </c>
      <c r="G923">
        <v>54</v>
      </c>
      <c r="H923" t="s">
        <v>17</v>
      </c>
      <c r="I923" t="s">
        <v>31</v>
      </c>
      <c r="J923">
        <v>9</v>
      </c>
      <c r="K923">
        <v>2026</v>
      </c>
      <c r="L923">
        <v>1</v>
      </c>
      <c r="M923">
        <v>20</v>
      </c>
      <c r="N923" t="s">
        <v>23</v>
      </c>
      <c r="O923" t="s">
        <v>24</v>
      </c>
      <c r="P923" t="s">
        <v>58</v>
      </c>
      <c r="Q923" t="s">
        <v>35</v>
      </c>
    </row>
    <row r="924" spans="1:17" x14ac:dyDescent="0.35">
      <c r="A924">
        <v>935</v>
      </c>
      <c r="B924">
        <v>7</v>
      </c>
      <c r="C924">
        <v>14</v>
      </c>
      <c r="D924">
        <v>8</v>
      </c>
      <c r="E924" s="1">
        <v>46193.9375</v>
      </c>
      <c r="F924">
        <v>3</v>
      </c>
      <c r="G924">
        <v>30</v>
      </c>
      <c r="H924" t="s">
        <v>22</v>
      </c>
      <c r="I924" t="s">
        <v>27</v>
      </c>
      <c r="J924">
        <v>10</v>
      </c>
      <c r="K924">
        <v>2026</v>
      </c>
      <c r="L924">
        <v>6</v>
      </c>
      <c r="M924">
        <v>22</v>
      </c>
      <c r="N924" t="s">
        <v>23</v>
      </c>
      <c r="O924" t="s">
        <v>24</v>
      </c>
      <c r="P924" t="s">
        <v>29</v>
      </c>
      <c r="Q924" t="s">
        <v>46</v>
      </c>
    </row>
    <row r="925" spans="1:17" x14ac:dyDescent="0.35">
      <c r="A925">
        <v>936</v>
      </c>
      <c r="B925">
        <v>6</v>
      </c>
      <c r="C925">
        <v>19</v>
      </c>
      <c r="D925">
        <v>7</v>
      </c>
      <c r="E925" s="1">
        <v>46369.8125</v>
      </c>
      <c r="F925">
        <v>2</v>
      </c>
      <c r="G925">
        <v>18</v>
      </c>
      <c r="H925" t="s">
        <v>22</v>
      </c>
      <c r="I925" t="s">
        <v>31</v>
      </c>
      <c r="J925">
        <v>9</v>
      </c>
      <c r="K925">
        <v>2026</v>
      </c>
      <c r="L925">
        <v>12</v>
      </c>
      <c r="M925">
        <v>19</v>
      </c>
      <c r="N925" t="s">
        <v>28</v>
      </c>
      <c r="O925" t="s">
        <v>24</v>
      </c>
      <c r="P925" t="s">
        <v>58</v>
      </c>
      <c r="Q925" t="s">
        <v>35</v>
      </c>
    </row>
    <row r="926" spans="1:17" x14ac:dyDescent="0.35">
      <c r="A926">
        <v>937</v>
      </c>
      <c r="B926">
        <v>11</v>
      </c>
      <c r="C926">
        <v>1</v>
      </c>
      <c r="D926">
        <v>9</v>
      </c>
      <c r="E926" s="1">
        <v>46372.75</v>
      </c>
      <c r="F926">
        <v>5</v>
      </c>
      <c r="G926">
        <v>40</v>
      </c>
      <c r="H926" t="s">
        <v>22</v>
      </c>
      <c r="I926" t="s">
        <v>31</v>
      </c>
      <c r="J926">
        <v>8</v>
      </c>
      <c r="K926">
        <v>2026</v>
      </c>
      <c r="L926">
        <v>12</v>
      </c>
      <c r="M926">
        <v>18</v>
      </c>
      <c r="N926" t="s">
        <v>19</v>
      </c>
      <c r="O926" t="s">
        <v>13</v>
      </c>
      <c r="P926" t="s">
        <v>39</v>
      </c>
      <c r="Q926" t="s">
        <v>30</v>
      </c>
    </row>
    <row r="927" spans="1:17" x14ac:dyDescent="0.35">
      <c r="A927">
        <v>938</v>
      </c>
      <c r="B927">
        <v>9</v>
      </c>
      <c r="C927">
        <v>7</v>
      </c>
      <c r="D927">
        <v>7</v>
      </c>
      <c r="E927" s="1">
        <v>46198.708333333343</v>
      </c>
      <c r="F927">
        <v>3</v>
      </c>
      <c r="G927">
        <v>24</v>
      </c>
      <c r="H927" t="s">
        <v>22</v>
      </c>
      <c r="I927" t="s">
        <v>31</v>
      </c>
      <c r="J927">
        <v>8</v>
      </c>
      <c r="K927">
        <v>2026</v>
      </c>
      <c r="L927">
        <v>6</v>
      </c>
      <c r="M927">
        <v>17</v>
      </c>
      <c r="N927" t="s">
        <v>41</v>
      </c>
      <c r="O927" t="s">
        <v>13</v>
      </c>
      <c r="P927" t="s">
        <v>34</v>
      </c>
      <c r="Q927" t="s">
        <v>35</v>
      </c>
    </row>
    <row r="928" spans="1:17" x14ac:dyDescent="0.35">
      <c r="A928">
        <v>939</v>
      </c>
      <c r="B928">
        <v>19</v>
      </c>
      <c r="C928">
        <v>11</v>
      </c>
      <c r="D928">
        <v>2</v>
      </c>
      <c r="E928" s="1">
        <v>46242.708333333343</v>
      </c>
      <c r="F928">
        <v>3</v>
      </c>
      <c r="G928">
        <v>27</v>
      </c>
      <c r="H928" t="s">
        <v>22</v>
      </c>
      <c r="I928" t="s">
        <v>27</v>
      </c>
      <c r="J928">
        <v>9</v>
      </c>
      <c r="K928">
        <v>2026</v>
      </c>
      <c r="L928">
        <v>8</v>
      </c>
      <c r="M928">
        <v>17</v>
      </c>
      <c r="N928" t="s">
        <v>23</v>
      </c>
      <c r="O928" t="s">
        <v>24</v>
      </c>
      <c r="P928" t="s">
        <v>59</v>
      </c>
      <c r="Q928" t="s">
        <v>54</v>
      </c>
    </row>
    <row r="929" spans="1:17" x14ac:dyDescent="0.35">
      <c r="A929">
        <v>940</v>
      </c>
      <c r="B929">
        <v>6</v>
      </c>
      <c r="C929">
        <v>2</v>
      </c>
      <c r="D929">
        <v>7</v>
      </c>
      <c r="E929" s="1">
        <v>46294.9375</v>
      </c>
      <c r="F929">
        <v>1</v>
      </c>
      <c r="G929">
        <v>9</v>
      </c>
      <c r="H929" t="s">
        <v>22</v>
      </c>
      <c r="I929" t="s">
        <v>31</v>
      </c>
      <c r="J929">
        <v>9</v>
      </c>
      <c r="K929">
        <v>2026</v>
      </c>
      <c r="L929">
        <v>9</v>
      </c>
      <c r="M929">
        <v>22</v>
      </c>
      <c r="N929" t="s">
        <v>37</v>
      </c>
      <c r="O929" t="s">
        <v>13</v>
      </c>
      <c r="P929" t="s">
        <v>44</v>
      </c>
      <c r="Q929" t="s">
        <v>35</v>
      </c>
    </row>
    <row r="930" spans="1:17" x14ac:dyDescent="0.35">
      <c r="A930">
        <v>941</v>
      </c>
      <c r="B930">
        <v>1</v>
      </c>
      <c r="C930">
        <v>3</v>
      </c>
      <c r="D930">
        <v>6</v>
      </c>
      <c r="E930" s="1">
        <v>46186.604166666657</v>
      </c>
      <c r="F930">
        <v>4</v>
      </c>
      <c r="G930">
        <v>36</v>
      </c>
      <c r="H930" t="s">
        <v>22</v>
      </c>
      <c r="I930" t="s">
        <v>27</v>
      </c>
      <c r="J930">
        <v>9</v>
      </c>
      <c r="K930">
        <v>2026</v>
      </c>
      <c r="L930">
        <v>6</v>
      </c>
      <c r="M930">
        <v>14</v>
      </c>
      <c r="N930" t="s">
        <v>23</v>
      </c>
      <c r="O930" t="s">
        <v>24</v>
      </c>
      <c r="P930" t="s">
        <v>20</v>
      </c>
      <c r="Q930" t="s">
        <v>21</v>
      </c>
    </row>
    <row r="931" spans="1:17" x14ac:dyDescent="0.35">
      <c r="A931">
        <v>942</v>
      </c>
      <c r="B931">
        <v>6</v>
      </c>
      <c r="C931">
        <v>8</v>
      </c>
      <c r="D931">
        <v>2</v>
      </c>
      <c r="E931" s="1">
        <v>46260.708333333343</v>
      </c>
      <c r="F931">
        <v>2</v>
      </c>
      <c r="G931">
        <v>16</v>
      </c>
      <c r="H931" t="s">
        <v>17</v>
      </c>
      <c r="I931" t="s">
        <v>31</v>
      </c>
      <c r="J931">
        <v>8</v>
      </c>
      <c r="K931">
        <v>2026</v>
      </c>
      <c r="L931">
        <v>8</v>
      </c>
      <c r="M931">
        <v>17</v>
      </c>
      <c r="N931" t="s">
        <v>19</v>
      </c>
      <c r="O931" t="s">
        <v>13</v>
      </c>
      <c r="P931" t="s">
        <v>42</v>
      </c>
      <c r="Q931" t="s">
        <v>54</v>
      </c>
    </row>
    <row r="932" spans="1:17" x14ac:dyDescent="0.35">
      <c r="A932">
        <v>943</v>
      </c>
      <c r="B932">
        <v>20</v>
      </c>
      <c r="C932">
        <v>2</v>
      </c>
      <c r="D932">
        <v>9</v>
      </c>
      <c r="E932" s="1">
        <v>46056.770833333343</v>
      </c>
      <c r="F932">
        <v>3</v>
      </c>
      <c r="G932">
        <v>24</v>
      </c>
      <c r="H932" t="s">
        <v>22</v>
      </c>
      <c r="I932" t="s">
        <v>31</v>
      </c>
      <c r="J932">
        <v>8</v>
      </c>
      <c r="K932">
        <v>2026</v>
      </c>
      <c r="L932">
        <v>2</v>
      </c>
      <c r="M932">
        <v>18</v>
      </c>
      <c r="N932" t="s">
        <v>37</v>
      </c>
      <c r="O932" t="s">
        <v>13</v>
      </c>
      <c r="P932" t="s">
        <v>44</v>
      </c>
      <c r="Q932" t="s">
        <v>30</v>
      </c>
    </row>
    <row r="933" spans="1:17" x14ac:dyDescent="0.35">
      <c r="A933">
        <v>944</v>
      </c>
      <c r="B933">
        <v>11</v>
      </c>
      <c r="C933">
        <v>13</v>
      </c>
      <c r="D933">
        <v>4</v>
      </c>
      <c r="E933" s="1">
        <v>46283.916666666657</v>
      </c>
      <c r="F933">
        <v>6</v>
      </c>
      <c r="G933">
        <v>54</v>
      </c>
      <c r="H933" t="s">
        <v>22</v>
      </c>
      <c r="I933" t="s">
        <v>31</v>
      </c>
      <c r="J933">
        <v>9</v>
      </c>
      <c r="K933">
        <v>2026</v>
      </c>
      <c r="L933">
        <v>9</v>
      </c>
      <c r="M933">
        <v>22</v>
      </c>
      <c r="N933" t="s">
        <v>43</v>
      </c>
      <c r="O933" t="s">
        <v>13</v>
      </c>
      <c r="P933" t="s">
        <v>49</v>
      </c>
      <c r="Q933" t="s">
        <v>26</v>
      </c>
    </row>
    <row r="934" spans="1:17" x14ac:dyDescent="0.35">
      <c r="A934">
        <v>945</v>
      </c>
      <c r="B934">
        <v>15</v>
      </c>
      <c r="C934">
        <v>17</v>
      </c>
      <c r="D934">
        <v>4</v>
      </c>
      <c r="E934" s="1">
        <v>46290.8125</v>
      </c>
      <c r="F934">
        <v>3</v>
      </c>
      <c r="G934">
        <v>24</v>
      </c>
      <c r="H934" t="s">
        <v>22</v>
      </c>
      <c r="I934" t="s">
        <v>27</v>
      </c>
      <c r="J934">
        <v>8</v>
      </c>
      <c r="K934">
        <v>2026</v>
      </c>
      <c r="L934">
        <v>9</v>
      </c>
      <c r="M934">
        <v>19</v>
      </c>
      <c r="N934" t="s">
        <v>43</v>
      </c>
      <c r="O934" t="s">
        <v>13</v>
      </c>
      <c r="P934" t="s">
        <v>56</v>
      </c>
      <c r="Q934" t="s">
        <v>26</v>
      </c>
    </row>
    <row r="935" spans="1:17" x14ac:dyDescent="0.35">
      <c r="A935">
        <v>946</v>
      </c>
      <c r="B935">
        <v>4</v>
      </c>
      <c r="C935">
        <v>10</v>
      </c>
      <c r="D935">
        <v>9</v>
      </c>
      <c r="E935" s="1">
        <v>46285.791666666657</v>
      </c>
      <c r="F935">
        <v>4</v>
      </c>
      <c r="G935">
        <v>36</v>
      </c>
      <c r="H935" t="s">
        <v>22</v>
      </c>
      <c r="I935" t="s">
        <v>31</v>
      </c>
      <c r="J935">
        <v>9</v>
      </c>
      <c r="K935">
        <v>2026</v>
      </c>
      <c r="L935">
        <v>9</v>
      </c>
      <c r="M935">
        <v>19</v>
      </c>
      <c r="N935" t="s">
        <v>28</v>
      </c>
      <c r="O935" t="s">
        <v>24</v>
      </c>
      <c r="P935" t="s">
        <v>25</v>
      </c>
      <c r="Q935" t="s">
        <v>30</v>
      </c>
    </row>
    <row r="936" spans="1:17" x14ac:dyDescent="0.35">
      <c r="A936">
        <v>947</v>
      </c>
      <c r="B936">
        <v>5</v>
      </c>
      <c r="C936">
        <v>13</v>
      </c>
      <c r="D936">
        <v>3</v>
      </c>
      <c r="E936" s="1">
        <v>46129.854166666657</v>
      </c>
      <c r="F936">
        <v>6</v>
      </c>
      <c r="G936">
        <v>48</v>
      </c>
      <c r="H936" t="s">
        <v>22</v>
      </c>
      <c r="I936" t="s">
        <v>27</v>
      </c>
      <c r="J936">
        <v>8</v>
      </c>
      <c r="K936">
        <v>2026</v>
      </c>
      <c r="L936">
        <v>4</v>
      </c>
      <c r="M936">
        <v>20</v>
      </c>
      <c r="N936" t="s">
        <v>43</v>
      </c>
      <c r="O936" t="s">
        <v>13</v>
      </c>
      <c r="P936" t="s">
        <v>49</v>
      </c>
      <c r="Q936" t="s">
        <v>45</v>
      </c>
    </row>
    <row r="937" spans="1:17" x14ac:dyDescent="0.35">
      <c r="A937">
        <v>948</v>
      </c>
      <c r="B937">
        <v>16</v>
      </c>
      <c r="C937">
        <v>14</v>
      </c>
      <c r="D937">
        <v>9</v>
      </c>
      <c r="E937" s="1">
        <v>46261.958333333343</v>
      </c>
      <c r="F937">
        <v>3</v>
      </c>
      <c r="G937">
        <v>27</v>
      </c>
      <c r="H937" t="s">
        <v>22</v>
      </c>
      <c r="I937" t="s">
        <v>31</v>
      </c>
      <c r="J937">
        <v>9</v>
      </c>
      <c r="K937">
        <v>2026</v>
      </c>
      <c r="L937">
        <v>8</v>
      </c>
      <c r="M937">
        <v>23</v>
      </c>
      <c r="N937" t="s">
        <v>41</v>
      </c>
      <c r="O937" t="s">
        <v>13</v>
      </c>
      <c r="P937" t="s">
        <v>29</v>
      </c>
      <c r="Q937" t="s">
        <v>30</v>
      </c>
    </row>
    <row r="938" spans="1:17" x14ac:dyDescent="0.35">
      <c r="A938">
        <v>949</v>
      </c>
      <c r="B938">
        <v>13</v>
      </c>
      <c r="C938">
        <v>9</v>
      </c>
      <c r="D938">
        <v>10</v>
      </c>
      <c r="E938" s="1">
        <v>46362.833333333343</v>
      </c>
      <c r="F938">
        <v>2</v>
      </c>
      <c r="G938">
        <v>18</v>
      </c>
      <c r="H938" t="s">
        <v>22</v>
      </c>
      <c r="I938" t="s">
        <v>18</v>
      </c>
      <c r="J938">
        <v>9</v>
      </c>
      <c r="K938">
        <v>2026</v>
      </c>
      <c r="L938">
        <v>12</v>
      </c>
      <c r="M938">
        <v>20</v>
      </c>
      <c r="N938" t="s">
        <v>28</v>
      </c>
      <c r="O938" t="s">
        <v>24</v>
      </c>
      <c r="P938" t="s">
        <v>48</v>
      </c>
      <c r="Q938" t="s">
        <v>32</v>
      </c>
    </row>
    <row r="939" spans="1:17" x14ac:dyDescent="0.35">
      <c r="A939">
        <v>950</v>
      </c>
      <c r="B939">
        <v>17</v>
      </c>
      <c r="C939">
        <v>1</v>
      </c>
      <c r="D939">
        <v>7</v>
      </c>
      <c r="E939" s="1">
        <v>46166.916666666657</v>
      </c>
      <c r="F939">
        <v>2</v>
      </c>
      <c r="G939">
        <v>20</v>
      </c>
      <c r="H939" t="s">
        <v>22</v>
      </c>
      <c r="I939" t="s">
        <v>31</v>
      </c>
      <c r="J939">
        <v>10</v>
      </c>
      <c r="K939">
        <v>2026</v>
      </c>
      <c r="L939">
        <v>5</v>
      </c>
      <c r="M939">
        <v>22</v>
      </c>
      <c r="N939" t="s">
        <v>28</v>
      </c>
      <c r="O939" t="s">
        <v>24</v>
      </c>
      <c r="P939" t="s">
        <v>39</v>
      </c>
      <c r="Q939" t="s">
        <v>35</v>
      </c>
    </row>
    <row r="940" spans="1:17" x14ac:dyDescent="0.35">
      <c r="A940">
        <v>951</v>
      </c>
      <c r="B940">
        <v>14</v>
      </c>
      <c r="C940">
        <v>19</v>
      </c>
      <c r="D940">
        <v>7</v>
      </c>
      <c r="E940" s="1">
        <v>46196.645833333343</v>
      </c>
      <c r="F940">
        <v>2</v>
      </c>
      <c r="G940">
        <v>16</v>
      </c>
      <c r="H940" t="s">
        <v>22</v>
      </c>
      <c r="I940" t="s">
        <v>27</v>
      </c>
      <c r="J940">
        <v>8</v>
      </c>
      <c r="K940">
        <v>2026</v>
      </c>
      <c r="L940">
        <v>6</v>
      </c>
      <c r="M940">
        <v>15</v>
      </c>
      <c r="N940" t="s">
        <v>37</v>
      </c>
      <c r="O940" t="s">
        <v>13</v>
      </c>
      <c r="P940" t="s">
        <v>58</v>
      </c>
      <c r="Q940" t="s">
        <v>35</v>
      </c>
    </row>
    <row r="941" spans="1:17" x14ac:dyDescent="0.35">
      <c r="A941">
        <v>952</v>
      </c>
      <c r="B941">
        <v>4</v>
      </c>
      <c r="C941">
        <v>15</v>
      </c>
      <c r="D941">
        <v>4</v>
      </c>
      <c r="E941" s="1">
        <v>46061.75</v>
      </c>
      <c r="F941">
        <v>1</v>
      </c>
      <c r="G941">
        <v>9</v>
      </c>
      <c r="H941" t="s">
        <v>22</v>
      </c>
      <c r="I941" t="s">
        <v>31</v>
      </c>
      <c r="J941">
        <v>9</v>
      </c>
      <c r="K941">
        <v>2026</v>
      </c>
      <c r="L941">
        <v>2</v>
      </c>
      <c r="M941">
        <v>18</v>
      </c>
      <c r="N941" t="s">
        <v>28</v>
      </c>
      <c r="O941" t="s">
        <v>24</v>
      </c>
      <c r="P941" t="s">
        <v>38</v>
      </c>
      <c r="Q941" t="s">
        <v>26</v>
      </c>
    </row>
    <row r="942" spans="1:17" x14ac:dyDescent="0.35">
      <c r="A942">
        <v>953</v>
      </c>
      <c r="B942">
        <v>1</v>
      </c>
      <c r="C942">
        <v>8</v>
      </c>
      <c r="D942">
        <v>1</v>
      </c>
      <c r="E942" s="1">
        <v>46322.583333333343</v>
      </c>
      <c r="F942">
        <v>3</v>
      </c>
      <c r="G942">
        <v>24</v>
      </c>
      <c r="H942" t="s">
        <v>22</v>
      </c>
      <c r="I942" t="s">
        <v>31</v>
      </c>
      <c r="J942">
        <v>8</v>
      </c>
      <c r="K942">
        <v>2026</v>
      </c>
      <c r="L942">
        <v>10</v>
      </c>
      <c r="M942">
        <v>14</v>
      </c>
      <c r="N942" t="s">
        <v>37</v>
      </c>
      <c r="O942" t="s">
        <v>13</v>
      </c>
      <c r="P942" t="s">
        <v>42</v>
      </c>
      <c r="Q942" t="s">
        <v>40</v>
      </c>
    </row>
    <row r="943" spans="1:17" x14ac:dyDescent="0.35">
      <c r="A943">
        <v>954</v>
      </c>
      <c r="B943">
        <v>9</v>
      </c>
      <c r="C943">
        <v>15</v>
      </c>
      <c r="D943">
        <v>4</v>
      </c>
      <c r="E943" s="1">
        <v>46025.583333333343</v>
      </c>
      <c r="F943">
        <v>4</v>
      </c>
      <c r="G943">
        <v>36</v>
      </c>
      <c r="H943" t="s">
        <v>22</v>
      </c>
      <c r="I943" t="s">
        <v>31</v>
      </c>
      <c r="J943">
        <v>9</v>
      </c>
      <c r="K943">
        <v>2026</v>
      </c>
      <c r="L943">
        <v>1</v>
      </c>
      <c r="M943">
        <v>14</v>
      </c>
      <c r="N943" t="s">
        <v>23</v>
      </c>
      <c r="O943" t="s">
        <v>24</v>
      </c>
      <c r="P943" t="s">
        <v>38</v>
      </c>
      <c r="Q943" t="s">
        <v>26</v>
      </c>
    </row>
    <row r="944" spans="1:17" x14ac:dyDescent="0.35">
      <c r="A944">
        <v>955</v>
      </c>
      <c r="B944">
        <v>4</v>
      </c>
      <c r="C944">
        <v>1</v>
      </c>
      <c r="D944">
        <v>10</v>
      </c>
      <c r="E944" s="1">
        <v>46191.958333333343</v>
      </c>
      <c r="F944">
        <v>4</v>
      </c>
      <c r="G944">
        <v>36</v>
      </c>
      <c r="H944" t="s">
        <v>22</v>
      </c>
      <c r="I944" t="s">
        <v>18</v>
      </c>
      <c r="J944">
        <v>9</v>
      </c>
      <c r="K944">
        <v>2026</v>
      </c>
      <c r="L944">
        <v>6</v>
      </c>
      <c r="M944">
        <v>23</v>
      </c>
      <c r="N944" t="s">
        <v>41</v>
      </c>
      <c r="O944" t="s">
        <v>13</v>
      </c>
      <c r="P944" t="s">
        <v>39</v>
      </c>
      <c r="Q944" t="s">
        <v>32</v>
      </c>
    </row>
    <row r="945" spans="1:17" x14ac:dyDescent="0.35">
      <c r="A945">
        <v>956</v>
      </c>
      <c r="B945">
        <v>4</v>
      </c>
      <c r="C945">
        <v>8</v>
      </c>
      <c r="D945">
        <v>9</v>
      </c>
      <c r="E945" s="1">
        <v>46055.625</v>
      </c>
      <c r="F945">
        <v>3</v>
      </c>
      <c r="G945">
        <v>24</v>
      </c>
      <c r="H945" t="s">
        <v>22</v>
      </c>
      <c r="I945" t="s">
        <v>18</v>
      </c>
      <c r="J945">
        <v>8</v>
      </c>
      <c r="K945">
        <v>2026</v>
      </c>
      <c r="L945">
        <v>2</v>
      </c>
      <c r="M945">
        <v>15</v>
      </c>
      <c r="N945" t="s">
        <v>33</v>
      </c>
      <c r="O945" t="s">
        <v>13</v>
      </c>
      <c r="P945" t="s">
        <v>42</v>
      </c>
      <c r="Q945" t="s">
        <v>30</v>
      </c>
    </row>
    <row r="946" spans="1:17" x14ac:dyDescent="0.35">
      <c r="A946">
        <v>957</v>
      </c>
      <c r="B946">
        <v>5</v>
      </c>
      <c r="C946">
        <v>1</v>
      </c>
      <c r="D946">
        <v>5</v>
      </c>
      <c r="E946" s="1">
        <v>46140.958333333343</v>
      </c>
      <c r="F946">
        <v>1</v>
      </c>
      <c r="G946">
        <v>9</v>
      </c>
      <c r="H946" t="s">
        <v>22</v>
      </c>
      <c r="I946" t="s">
        <v>27</v>
      </c>
      <c r="J946">
        <v>9</v>
      </c>
      <c r="K946">
        <v>2026</v>
      </c>
      <c r="L946">
        <v>4</v>
      </c>
      <c r="M946">
        <v>23</v>
      </c>
      <c r="N946" t="s">
        <v>37</v>
      </c>
      <c r="O946" t="s">
        <v>13</v>
      </c>
      <c r="P946" t="s">
        <v>39</v>
      </c>
      <c r="Q946" t="s">
        <v>50</v>
      </c>
    </row>
    <row r="947" spans="1:17" x14ac:dyDescent="0.35">
      <c r="A947">
        <v>958</v>
      </c>
      <c r="B947">
        <v>6</v>
      </c>
      <c r="C947">
        <v>12</v>
      </c>
      <c r="D947">
        <v>1</v>
      </c>
      <c r="E947" s="1">
        <v>46146.75</v>
      </c>
      <c r="F947">
        <v>4</v>
      </c>
      <c r="G947">
        <v>32</v>
      </c>
      <c r="H947" t="s">
        <v>22</v>
      </c>
      <c r="I947" t="s">
        <v>31</v>
      </c>
      <c r="J947">
        <v>8</v>
      </c>
      <c r="K947">
        <v>2026</v>
      </c>
      <c r="L947">
        <v>5</v>
      </c>
      <c r="M947">
        <v>18</v>
      </c>
      <c r="N947" t="s">
        <v>33</v>
      </c>
      <c r="O947" t="s">
        <v>13</v>
      </c>
      <c r="P947" t="s">
        <v>57</v>
      </c>
      <c r="Q947" t="s">
        <v>40</v>
      </c>
    </row>
    <row r="948" spans="1:17" x14ac:dyDescent="0.35">
      <c r="A948">
        <v>959</v>
      </c>
      <c r="B948">
        <v>3</v>
      </c>
      <c r="C948">
        <v>3</v>
      </c>
      <c r="D948">
        <v>5</v>
      </c>
      <c r="E948" s="1">
        <v>46333.854166666657</v>
      </c>
      <c r="F948">
        <v>3</v>
      </c>
      <c r="G948">
        <v>27</v>
      </c>
      <c r="H948" t="s">
        <v>22</v>
      </c>
      <c r="I948" t="s">
        <v>27</v>
      </c>
      <c r="J948">
        <v>9</v>
      </c>
      <c r="K948">
        <v>2026</v>
      </c>
      <c r="L948">
        <v>11</v>
      </c>
      <c r="M948">
        <v>20</v>
      </c>
      <c r="N948" t="s">
        <v>23</v>
      </c>
      <c r="O948" t="s">
        <v>24</v>
      </c>
      <c r="P948" t="s">
        <v>20</v>
      </c>
      <c r="Q948" t="s">
        <v>50</v>
      </c>
    </row>
    <row r="949" spans="1:17" x14ac:dyDescent="0.35">
      <c r="A949">
        <v>960</v>
      </c>
      <c r="B949">
        <v>17</v>
      </c>
      <c r="C949">
        <v>13</v>
      </c>
      <c r="D949">
        <v>7</v>
      </c>
      <c r="E949" s="1">
        <v>46332.833333333343</v>
      </c>
      <c r="F949">
        <v>4</v>
      </c>
      <c r="G949">
        <v>32</v>
      </c>
      <c r="H949" t="s">
        <v>17</v>
      </c>
      <c r="I949" t="s">
        <v>18</v>
      </c>
      <c r="J949">
        <v>8</v>
      </c>
      <c r="K949">
        <v>2026</v>
      </c>
      <c r="L949">
        <v>11</v>
      </c>
      <c r="M949">
        <v>20</v>
      </c>
      <c r="N949" t="s">
        <v>43</v>
      </c>
      <c r="O949" t="s">
        <v>13</v>
      </c>
      <c r="P949" t="s">
        <v>49</v>
      </c>
      <c r="Q949" t="s">
        <v>35</v>
      </c>
    </row>
    <row r="950" spans="1:17" x14ac:dyDescent="0.35">
      <c r="A950">
        <v>961</v>
      </c>
      <c r="B950">
        <v>19</v>
      </c>
      <c r="C950">
        <v>4</v>
      </c>
      <c r="D950">
        <v>1</v>
      </c>
      <c r="E950" s="1">
        <v>46035.833333333343</v>
      </c>
      <c r="F950">
        <v>5</v>
      </c>
      <c r="G950">
        <v>40</v>
      </c>
      <c r="H950" t="s">
        <v>22</v>
      </c>
      <c r="I950" t="s">
        <v>18</v>
      </c>
      <c r="J950">
        <v>8</v>
      </c>
      <c r="K950">
        <v>2026</v>
      </c>
      <c r="L950">
        <v>1</v>
      </c>
      <c r="M950">
        <v>20</v>
      </c>
      <c r="N950" t="s">
        <v>37</v>
      </c>
      <c r="O950" t="s">
        <v>13</v>
      </c>
      <c r="P950" t="s">
        <v>55</v>
      </c>
      <c r="Q950" t="s">
        <v>40</v>
      </c>
    </row>
    <row r="951" spans="1:17" x14ac:dyDescent="0.35">
      <c r="A951">
        <v>962</v>
      </c>
      <c r="B951">
        <v>3</v>
      </c>
      <c r="C951">
        <v>18</v>
      </c>
      <c r="D951">
        <v>7</v>
      </c>
      <c r="E951" s="1">
        <v>46050.625</v>
      </c>
      <c r="F951">
        <v>2</v>
      </c>
      <c r="G951">
        <v>16</v>
      </c>
      <c r="H951" t="s">
        <v>22</v>
      </c>
      <c r="I951" t="s">
        <v>18</v>
      </c>
      <c r="J951">
        <v>8</v>
      </c>
      <c r="K951">
        <v>2026</v>
      </c>
      <c r="L951">
        <v>1</v>
      </c>
      <c r="M951">
        <v>15</v>
      </c>
      <c r="N951" t="s">
        <v>19</v>
      </c>
      <c r="O951" t="s">
        <v>13</v>
      </c>
      <c r="P951" t="s">
        <v>47</v>
      </c>
      <c r="Q951" t="s">
        <v>35</v>
      </c>
    </row>
    <row r="952" spans="1:17" x14ac:dyDescent="0.35">
      <c r="A952">
        <v>963</v>
      </c>
      <c r="B952">
        <v>4</v>
      </c>
      <c r="C952">
        <v>14</v>
      </c>
      <c r="D952">
        <v>4</v>
      </c>
      <c r="E952" s="1">
        <v>46034.916666666657</v>
      </c>
      <c r="F952">
        <v>2</v>
      </c>
      <c r="G952">
        <v>18</v>
      </c>
      <c r="H952" t="s">
        <v>22</v>
      </c>
      <c r="I952" t="s">
        <v>18</v>
      </c>
      <c r="J952">
        <v>9</v>
      </c>
      <c r="K952">
        <v>2026</v>
      </c>
      <c r="L952">
        <v>1</v>
      </c>
      <c r="M952">
        <v>22</v>
      </c>
      <c r="N952" t="s">
        <v>33</v>
      </c>
      <c r="O952" t="s">
        <v>13</v>
      </c>
      <c r="P952" t="s">
        <v>29</v>
      </c>
      <c r="Q952" t="s">
        <v>26</v>
      </c>
    </row>
    <row r="953" spans="1:17" x14ac:dyDescent="0.35">
      <c r="A953">
        <v>964</v>
      </c>
      <c r="B953">
        <v>20</v>
      </c>
      <c r="C953">
        <v>12</v>
      </c>
      <c r="D953">
        <v>6</v>
      </c>
      <c r="E953" s="1">
        <v>46285.6875</v>
      </c>
      <c r="F953">
        <v>3</v>
      </c>
      <c r="G953">
        <v>27</v>
      </c>
      <c r="H953" t="s">
        <v>22</v>
      </c>
      <c r="I953" t="s">
        <v>18</v>
      </c>
      <c r="J953">
        <v>9</v>
      </c>
      <c r="K953">
        <v>2026</v>
      </c>
      <c r="L953">
        <v>9</v>
      </c>
      <c r="M953">
        <v>16</v>
      </c>
      <c r="N953" t="s">
        <v>28</v>
      </c>
      <c r="O953" t="s">
        <v>24</v>
      </c>
      <c r="P953" t="s">
        <v>57</v>
      </c>
      <c r="Q953" t="s">
        <v>21</v>
      </c>
    </row>
    <row r="954" spans="1:17" x14ac:dyDescent="0.35">
      <c r="A954">
        <v>965</v>
      </c>
      <c r="B954">
        <v>19</v>
      </c>
      <c r="C954">
        <v>2</v>
      </c>
      <c r="D954">
        <v>4</v>
      </c>
      <c r="E954" s="1">
        <v>46057.791666666657</v>
      </c>
      <c r="F954">
        <v>6</v>
      </c>
      <c r="G954">
        <v>48</v>
      </c>
      <c r="H954" t="s">
        <v>22</v>
      </c>
      <c r="I954" t="s">
        <v>31</v>
      </c>
      <c r="J954">
        <v>8</v>
      </c>
      <c r="K954">
        <v>2026</v>
      </c>
      <c r="L954">
        <v>2</v>
      </c>
      <c r="M954">
        <v>19</v>
      </c>
      <c r="N954" t="s">
        <v>19</v>
      </c>
      <c r="O954" t="s">
        <v>13</v>
      </c>
      <c r="P954" t="s">
        <v>44</v>
      </c>
      <c r="Q954" t="s">
        <v>26</v>
      </c>
    </row>
    <row r="955" spans="1:17" x14ac:dyDescent="0.35">
      <c r="A955">
        <v>966</v>
      </c>
      <c r="B955">
        <v>4</v>
      </c>
      <c r="C955">
        <v>13</v>
      </c>
      <c r="D955">
        <v>1</v>
      </c>
      <c r="E955" s="1">
        <v>46255.770833333343</v>
      </c>
      <c r="F955">
        <v>4</v>
      </c>
      <c r="G955">
        <v>32</v>
      </c>
      <c r="H955" t="s">
        <v>22</v>
      </c>
      <c r="I955" t="s">
        <v>27</v>
      </c>
      <c r="J955">
        <v>8</v>
      </c>
      <c r="K955">
        <v>2026</v>
      </c>
      <c r="L955">
        <v>8</v>
      </c>
      <c r="M955">
        <v>18</v>
      </c>
      <c r="N955" t="s">
        <v>43</v>
      </c>
      <c r="O955" t="s">
        <v>13</v>
      </c>
      <c r="P955" t="s">
        <v>49</v>
      </c>
      <c r="Q955" t="s">
        <v>40</v>
      </c>
    </row>
    <row r="956" spans="1:17" x14ac:dyDescent="0.35">
      <c r="A956">
        <v>967</v>
      </c>
      <c r="B956">
        <v>13</v>
      </c>
      <c r="C956">
        <v>9</v>
      </c>
      <c r="D956">
        <v>7</v>
      </c>
      <c r="E956" s="1">
        <v>46384.645833333343</v>
      </c>
      <c r="F956">
        <v>1</v>
      </c>
      <c r="G956">
        <v>8</v>
      </c>
      <c r="H956" t="s">
        <v>22</v>
      </c>
      <c r="I956" t="s">
        <v>27</v>
      </c>
      <c r="J956">
        <v>8</v>
      </c>
      <c r="K956">
        <v>2026</v>
      </c>
      <c r="L956">
        <v>12</v>
      </c>
      <c r="M956">
        <v>15</v>
      </c>
      <c r="N956" t="s">
        <v>33</v>
      </c>
      <c r="O956" t="s">
        <v>13</v>
      </c>
      <c r="P956" t="s">
        <v>48</v>
      </c>
      <c r="Q956" t="s">
        <v>35</v>
      </c>
    </row>
    <row r="957" spans="1:17" x14ac:dyDescent="0.35">
      <c r="A957">
        <v>968</v>
      </c>
      <c r="B957">
        <v>8</v>
      </c>
      <c r="C957">
        <v>20</v>
      </c>
      <c r="D957">
        <v>6</v>
      </c>
      <c r="E957" s="1">
        <v>46053.791666666657</v>
      </c>
      <c r="F957">
        <v>1</v>
      </c>
      <c r="G957">
        <v>9</v>
      </c>
      <c r="H957" t="s">
        <v>22</v>
      </c>
      <c r="I957" t="s">
        <v>18</v>
      </c>
      <c r="J957">
        <v>9</v>
      </c>
      <c r="K957">
        <v>2026</v>
      </c>
      <c r="L957">
        <v>1</v>
      </c>
      <c r="M957">
        <v>19</v>
      </c>
      <c r="N957" t="s">
        <v>23</v>
      </c>
      <c r="O957" t="s">
        <v>24</v>
      </c>
      <c r="P957" t="s">
        <v>36</v>
      </c>
      <c r="Q957" t="s">
        <v>21</v>
      </c>
    </row>
    <row r="958" spans="1:17" x14ac:dyDescent="0.35">
      <c r="A958">
        <v>969</v>
      </c>
      <c r="B958">
        <v>16</v>
      </c>
      <c r="C958">
        <v>6</v>
      </c>
      <c r="D958">
        <v>7</v>
      </c>
      <c r="E958" s="1">
        <v>46228.895833333343</v>
      </c>
      <c r="F958">
        <v>2</v>
      </c>
      <c r="G958">
        <v>20</v>
      </c>
      <c r="H958" t="s">
        <v>17</v>
      </c>
      <c r="I958" t="s">
        <v>18</v>
      </c>
      <c r="J958">
        <v>10</v>
      </c>
      <c r="K958">
        <v>2026</v>
      </c>
      <c r="L958">
        <v>7</v>
      </c>
      <c r="M958">
        <v>21</v>
      </c>
      <c r="N958" t="s">
        <v>23</v>
      </c>
      <c r="O958" t="s">
        <v>24</v>
      </c>
      <c r="P958" t="s">
        <v>52</v>
      </c>
      <c r="Q958" t="s">
        <v>35</v>
      </c>
    </row>
    <row r="959" spans="1:17" x14ac:dyDescent="0.35">
      <c r="A959">
        <v>970</v>
      </c>
      <c r="B959">
        <v>19</v>
      </c>
      <c r="C959">
        <v>16</v>
      </c>
      <c r="D959">
        <v>10</v>
      </c>
      <c r="E959" s="1">
        <v>46111.916666666657</v>
      </c>
      <c r="F959">
        <v>4</v>
      </c>
      <c r="G959">
        <v>36</v>
      </c>
      <c r="H959" t="s">
        <v>17</v>
      </c>
      <c r="I959" t="s">
        <v>27</v>
      </c>
      <c r="J959">
        <v>9</v>
      </c>
      <c r="K959">
        <v>2026</v>
      </c>
      <c r="L959">
        <v>3</v>
      </c>
      <c r="M959">
        <v>22</v>
      </c>
      <c r="N959" t="s">
        <v>33</v>
      </c>
      <c r="O959" t="s">
        <v>13</v>
      </c>
      <c r="P959" t="s">
        <v>51</v>
      </c>
      <c r="Q959" t="s">
        <v>32</v>
      </c>
    </row>
    <row r="960" spans="1:17" x14ac:dyDescent="0.35">
      <c r="A960">
        <v>971</v>
      </c>
      <c r="B960">
        <v>6</v>
      </c>
      <c r="C960">
        <v>19</v>
      </c>
      <c r="D960">
        <v>3</v>
      </c>
      <c r="E960" s="1">
        <v>46192.708333333343</v>
      </c>
      <c r="F960">
        <v>1</v>
      </c>
      <c r="G960">
        <v>8</v>
      </c>
      <c r="H960" t="s">
        <v>22</v>
      </c>
      <c r="I960" t="s">
        <v>27</v>
      </c>
      <c r="J960">
        <v>8</v>
      </c>
      <c r="K960">
        <v>2026</v>
      </c>
      <c r="L960">
        <v>6</v>
      </c>
      <c r="M960">
        <v>17</v>
      </c>
      <c r="N960" t="s">
        <v>43</v>
      </c>
      <c r="O960" t="s">
        <v>13</v>
      </c>
      <c r="P960" t="s">
        <v>58</v>
      </c>
      <c r="Q960" t="s">
        <v>45</v>
      </c>
    </row>
    <row r="961" spans="1:17" x14ac:dyDescent="0.35">
      <c r="A961">
        <v>972</v>
      </c>
      <c r="B961">
        <v>17</v>
      </c>
      <c r="C961">
        <v>13</v>
      </c>
      <c r="D961">
        <v>7</v>
      </c>
      <c r="E961" s="1">
        <v>46304.729166666657</v>
      </c>
      <c r="F961">
        <v>5</v>
      </c>
      <c r="G961">
        <v>40</v>
      </c>
      <c r="H961" t="s">
        <v>22</v>
      </c>
      <c r="I961" t="s">
        <v>27</v>
      </c>
      <c r="J961">
        <v>8</v>
      </c>
      <c r="K961">
        <v>2026</v>
      </c>
      <c r="L961">
        <v>10</v>
      </c>
      <c r="M961">
        <v>17</v>
      </c>
      <c r="N961" t="s">
        <v>43</v>
      </c>
      <c r="O961" t="s">
        <v>13</v>
      </c>
      <c r="P961" t="s">
        <v>49</v>
      </c>
      <c r="Q961" t="s">
        <v>35</v>
      </c>
    </row>
    <row r="962" spans="1:17" x14ac:dyDescent="0.35">
      <c r="A962">
        <v>973</v>
      </c>
      <c r="B962">
        <v>10</v>
      </c>
      <c r="C962">
        <v>15</v>
      </c>
      <c r="D962">
        <v>8</v>
      </c>
      <c r="E962" s="1">
        <v>46079.791666666657</v>
      </c>
      <c r="F962">
        <v>6</v>
      </c>
      <c r="G962">
        <v>48</v>
      </c>
      <c r="H962" t="s">
        <v>22</v>
      </c>
      <c r="I962" t="s">
        <v>18</v>
      </c>
      <c r="J962">
        <v>8</v>
      </c>
      <c r="K962">
        <v>2026</v>
      </c>
      <c r="L962">
        <v>2</v>
      </c>
      <c r="M962">
        <v>19</v>
      </c>
      <c r="N962" t="s">
        <v>41</v>
      </c>
      <c r="O962" t="s">
        <v>13</v>
      </c>
      <c r="P962" t="s">
        <v>38</v>
      </c>
      <c r="Q962" t="s">
        <v>46</v>
      </c>
    </row>
    <row r="963" spans="1:17" x14ac:dyDescent="0.35">
      <c r="A963">
        <v>974</v>
      </c>
      <c r="B963">
        <v>3</v>
      </c>
      <c r="C963">
        <v>16</v>
      </c>
      <c r="D963">
        <v>1</v>
      </c>
      <c r="E963" s="1">
        <v>46025.645833333343</v>
      </c>
      <c r="F963">
        <v>3</v>
      </c>
      <c r="G963">
        <v>27</v>
      </c>
      <c r="H963" t="s">
        <v>22</v>
      </c>
      <c r="I963" t="s">
        <v>31</v>
      </c>
      <c r="J963">
        <v>9</v>
      </c>
      <c r="K963">
        <v>2026</v>
      </c>
      <c r="L963">
        <v>1</v>
      </c>
      <c r="M963">
        <v>15</v>
      </c>
      <c r="N963" t="s">
        <v>23</v>
      </c>
      <c r="O963" t="s">
        <v>24</v>
      </c>
      <c r="P963" t="s">
        <v>51</v>
      </c>
      <c r="Q963" t="s">
        <v>40</v>
      </c>
    </row>
    <row r="964" spans="1:17" x14ac:dyDescent="0.35">
      <c r="A964">
        <v>975</v>
      </c>
      <c r="B964">
        <v>4</v>
      </c>
      <c r="C964">
        <v>16</v>
      </c>
      <c r="D964">
        <v>8</v>
      </c>
      <c r="E964" s="1">
        <v>46050.854166666657</v>
      </c>
      <c r="F964">
        <v>6</v>
      </c>
      <c r="G964">
        <v>48</v>
      </c>
      <c r="H964" t="s">
        <v>22</v>
      </c>
      <c r="I964" t="s">
        <v>18</v>
      </c>
      <c r="J964">
        <v>8</v>
      </c>
      <c r="K964">
        <v>2026</v>
      </c>
      <c r="L964">
        <v>1</v>
      </c>
      <c r="M964">
        <v>20</v>
      </c>
      <c r="N964" t="s">
        <v>19</v>
      </c>
      <c r="O964" t="s">
        <v>13</v>
      </c>
      <c r="P964" t="s">
        <v>51</v>
      </c>
      <c r="Q964" t="s">
        <v>46</v>
      </c>
    </row>
    <row r="965" spans="1:17" x14ac:dyDescent="0.35">
      <c r="A965">
        <v>976</v>
      </c>
      <c r="B965">
        <v>8</v>
      </c>
      <c r="C965">
        <v>10</v>
      </c>
      <c r="D965">
        <v>1</v>
      </c>
      <c r="E965" s="1">
        <v>46044.645833333343</v>
      </c>
      <c r="F965">
        <v>1</v>
      </c>
      <c r="G965">
        <v>8</v>
      </c>
      <c r="H965" t="s">
        <v>22</v>
      </c>
      <c r="I965" t="s">
        <v>18</v>
      </c>
      <c r="J965">
        <v>8</v>
      </c>
      <c r="K965">
        <v>2026</v>
      </c>
      <c r="L965">
        <v>1</v>
      </c>
      <c r="M965">
        <v>15</v>
      </c>
      <c r="N965" t="s">
        <v>41</v>
      </c>
      <c r="O965" t="s">
        <v>13</v>
      </c>
      <c r="P965" t="s">
        <v>25</v>
      </c>
      <c r="Q965" t="s">
        <v>40</v>
      </c>
    </row>
    <row r="966" spans="1:17" x14ac:dyDescent="0.35">
      <c r="A966">
        <v>977</v>
      </c>
      <c r="B966">
        <v>4</v>
      </c>
      <c r="C966">
        <v>7</v>
      </c>
      <c r="D966">
        <v>8</v>
      </c>
      <c r="E966" s="1">
        <v>46387.770833333343</v>
      </c>
      <c r="F966">
        <v>4</v>
      </c>
      <c r="G966">
        <v>32</v>
      </c>
      <c r="H966" t="s">
        <v>22</v>
      </c>
      <c r="I966" t="s">
        <v>18</v>
      </c>
      <c r="J966">
        <v>8</v>
      </c>
      <c r="K966">
        <v>2026</v>
      </c>
      <c r="L966">
        <v>12</v>
      </c>
      <c r="M966">
        <v>18</v>
      </c>
      <c r="N966" t="s">
        <v>41</v>
      </c>
      <c r="O966" t="s">
        <v>13</v>
      </c>
      <c r="P966" t="s">
        <v>34</v>
      </c>
      <c r="Q966" t="s">
        <v>46</v>
      </c>
    </row>
    <row r="967" spans="1:17" x14ac:dyDescent="0.35">
      <c r="A967">
        <v>978</v>
      </c>
      <c r="B967">
        <v>1</v>
      </c>
      <c r="C967">
        <v>12</v>
      </c>
      <c r="D967">
        <v>2</v>
      </c>
      <c r="E967" s="1">
        <v>46204.708333333343</v>
      </c>
      <c r="F967">
        <v>3</v>
      </c>
      <c r="G967">
        <v>24</v>
      </c>
      <c r="H967" t="s">
        <v>22</v>
      </c>
      <c r="I967" t="s">
        <v>31</v>
      </c>
      <c r="J967">
        <v>8</v>
      </c>
      <c r="K967">
        <v>2026</v>
      </c>
      <c r="L967">
        <v>7</v>
      </c>
      <c r="M967">
        <v>17</v>
      </c>
      <c r="N967" t="s">
        <v>19</v>
      </c>
      <c r="O967" t="s">
        <v>13</v>
      </c>
      <c r="P967" t="s">
        <v>57</v>
      </c>
      <c r="Q967" t="s">
        <v>54</v>
      </c>
    </row>
    <row r="968" spans="1:17" x14ac:dyDescent="0.35">
      <c r="A968">
        <v>979</v>
      </c>
      <c r="B968">
        <v>12</v>
      </c>
      <c r="C968">
        <v>6</v>
      </c>
      <c r="D968">
        <v>10</v>
      </c>
      <c r="E968" s="1">
        <v>46119.75</v>
      </c>
      <c r="F968">
        <v>6</v>
      </c>
      <c r="G968">
        <v>48</v>
      </c>
      <c r="H968" t="s">
        <v>22</v>
      </c>
      <c r="I968" t="s">
        <v>18</v>
      </c>
      <c r="J968">
        <v>8</v>
      </c>
      <c r="K968">
        <v>2026</v>
      </c>
      <c r="L968">
        <v>4</v>
      </c>
      <c r="M968">
        <v>18</v>
      </c>
      <c r="N968" t="s">
        <v>37</v>
      </c>
      <c r="O968" t="s">
        <v>13</v>
      </c>
      <c r="P968" t="s">
        <v>52</v>
      </c>
      <c r="Q968" t="s">
        <v>32</v>
      </c>
    </row>
    <row r="969" spans="1:17" x14ac:dyDescent="0.35">
      <c r="A969">
        <v>980</v>
      </c>
      <c r="B969">
        <v>7</v>
      </c>
      <c r="C969">
        <v>2</v>
      </c>
      <c r="D969">
        <v>6</v>
      </c>
      <c r="E969" s="1">
        <v>46062.729166666657</v>
      </c>
      <c r="F969">
        <v>5</v>
      </c>
      <c r="G969">
        <v>40</v>
      </c>
      <c r="H969" t="s">
        <v>22</v>
      </c>
      <c r="I969" t="s">
        <v>18</v>
      </c>
      <c r="J969">
        <v>8</v>
      </c>
      <c r="K969">
        <v>2026</v>
      </c>
      <c r="L969">
        <v>2</v>
      </c>
      <c r="M969">
        <v>17</v>
      </c>
      <c r="N969" t="s">
        <v>33</v>
      </c>
      <c r="O969" t="s">
        <v>13</v>
      </c>
      <c r="P969" t="s">
        <v>44</v>
      </c>
      <c r="Q969" t="s">
        <v>21</v>
      </c>
    </row>
    <row r="970" spans="1:17" x14ac:dyDescent="0.35">
      <c r="A970">
        <v>981</v>
      </c>
      <c r="B970">
        <v>13</v>
      </c>
      <c r="C970">
        <v>9</v>
      </c>
      <c r="D970">
        <v>8</v>
      </c>
      <c r="E970" s="1">
        <v>46126.625</v>
      </c>
      <c r="F970">
        <v>4</v>
      </c>
      <c r="G970">
        <v>32</v>
      </c>
      <c r="H970" t="s">
        <v>22</v>
      </c>
      <c r="I970" t="s">
        <v>27</v>
      </c>
      <c r="J970">
        <v>8</v>
      </c>
      <c r="K970">
        <v>2026</v>
      </c>
      <c r="L970">
        <v>4</v>
      </c>
      <c r="M970">
        <v>15</v>
      </c>
      <c r="N970" t="s">
        <v>37</v>
      </c>
      <c r="O970" t="s">
        <v>13</v>
      </c>
      <c r="P970" t="s">
        <v>48</v>
      </c>
      <c r="Q970" t="s">
        <v>46</v>
      </c>
    </row>
    <row r="971" spans="1:17" x14ac:dyDescent="0.35">
      <c r="A971">
        <v>982</v>
      </c>
      <c r="B971">
        <v>14</v>
      </c>
      <c r="C971">
        <v>3</v>
      </c>
      <c r="D971">
        <v>2</v>
      </c>
      <c r="E971" s="1">
        <v>46277.9375</v>
      </c>
      <c r="F971">
        <v>3</v>
      </c>
      <c r="G971">
        <v>30</v>
      </c>
      <c r="H971" t="s">
        <v>22</v>
      </c>
      <c r="I971" t="s">
        <v>31</v>
      </c>
      <c r="J971">
        <v>10</v>
      </c>
      <c r="K971">
        <v>2026</v>
      </c>
      <c r="L971">
        <v>9</v>
      </c>
      <c r="M971">
        <v>22</v>
      </c>
      <c r="N971" t="s">
        <v>23</v>
      </c>
      <c r="O971" t="s">
        <v>24</v>
      </c>
      <c r="P971" t="s">
        <v>20</v>
      </c>
      <c r="Q971" t="s">
        <v>54</v>
      </c>
    </row>
    <row r="972" spans="1:17" x14ac:dyDescent="0.35">
      <c r="A972">
        <v>983</v>
      </c>
      <c r="B972">
        <v>3</v>
      </c>
      <c r="C972">
        <v>17</v>
      </c>
      <c r="D972">
        <v>6</v>
      </c>
      <c r="E972" s="1">
        <v>46205.583333333343</v>
      </c>
      <c r="F972">
        <v>5</v>
      </c>
      <c r="G972">
        <v>40</v>
      </c>
      <c r="H972" t="s">
        <v>22</v>
      </c>
      <c r="I972" t="s">
        <v>31</v>
      </c>
      <c r="J972">
        <v>8</v>
      </c>
      <c r="K972">
        <v>2026</v>
      </c>
      <c r="L972">
        <v>7</v>
      </c>
      <c r="M972">
        <v>14</v>
      </c>
      <c r="N972" t="s">
        <v>41</v>
      </c>
      <c r="O972" t="s">
        <v>13</v>
      </c>
      <c r="P972" t="s">
        <v>56</v>
      </c>
      <c r="Q972" t="s">
        <v>21</v>
      </c>
    </row>
    <row r="973" spans="1:17" x14ac:dyDescent="0.35">
      <c r="A973">
        <v>984</v>
      </c>
      <c r="B973">
        <v>17</v>
      </c>
      <c r="C973">
        <v>8</v>
      </c>
      <c r="D973">
        <v>10</v>
      </c>
      <c r="E973" s="1">
        <v>46074.625</v>
      </c>
      <c r="F973">
        <v>2</v>
      </c>
      <c r="G973">
        <v>18</v>
      </c>
      <c r="H973" t="s">
        <v>22</v>
      </c>
      <c r="I973" t="s">
        <v>18</v>
      </c>
      <c r="J973">
        <v>9</v>
      </c>
      <c r="K973">
        <v>2026</v>
      </c>
      <c r="L973">
        <v>2</v>
      </c>
      <c r="M973">
        <v>15</v>
      </c>
      <c r="N973" t="s">
        <v>23</v>
      </c>
      <c r="O973" t="s">
        <v>24</v>
      </c>
      <c r="P973" t="s">
        <v>42</v>
      </c>
      <c r="Q973" t="s">
        <v>32</v>
      </c>
    </row>
    <row r="974" spans="1:17" x14ac:dyDescent="0.35">
      <c r="A974">
        <v>985</v>
      </c>
      <c r="B974">
        <v>7</v>
      </c>
      <c r="C974">
        <v>11</v>
      </c>
      <c r="D974">
        <v>6</v>
      </c>
      <c r="E974" s="1">
        <v>46093.8125</v>
      </c>
      <c r="F974">
        <v>5</v>
      </c>
      <c r="G974">
        <v>40</v>
      </c>
      <c r="H974" t="s">
        <v>22</v>
      </c>
      <c r="I974" t="s">
        <v>31</v>
      </c>
      <c r="J974">
        <v>8</v>
      </c>
      <c r="K974">
        <v>2026</v>
      </c>
      <c r="L974">
        <v>3</v>
      </c>
      <c r="M974">
        <v>19</v>
      </c>
      <c r="N974" t="s">
        <v>41</v>
      </c>
      <c r="O974" t="s">
        <v>13</v>
      </c>
      <c r="P974" t="s">
        <v>59</v>
      </c>
      <c r="Q974" t="s">
        <v>21</v>
      </c>
    </row>
    <row r="975" spans="1:17" x14ac:dyDescent="0.35">
      <c r="A975">
        <v>986</v>
      </c>
      <c r="B975">
        <v>19</v>
      </c>
      <c r="C975">
        <v>2</v>
      </c>
      <c r="D975">
        <v>4</v>
      </c>
      <c r="E975" s="1">
        <v>46368.770833333343</v>
      </c>
      <c r="F975">
        <v>5</v>
      </c>
      <c r="G975">
        <v>45</v>
      </c>
      <c r="H975" t="s">
        <v>22</v>
      </c>
      <c r="I975" t="s">
        <v>27</v>
      </c>
      <c r="J975">
        <v>9</v>
      </c>
      <c r="K975">
        <v>2026</v>
      </c>
      <c r="L975">
        <v>12</v>
      </c>
      <c r="M975">
        <v>18</v>
      </c>
      <c r="N975" t="s">
        <v>23</v>
      </c>
      <c r="O975" t="s">
        <v>24</v>
      </c>
      <c r="P975" t="s">
        <v>44</v>
      </c>
      <c r="Q975" t="s">
        <v>26</v>
      </c>
    </row>
    <row r="976" spans="1:17" x14ac:dyDescent="0.35">
      <c r="A976">
        <v>987</v>
      </c>
      <c r="B976">
        <v>10</v>
      </c>
      <c r="C976">
        <v>5</v>
      </c>
      <c r="D976">
        <v>5</v>
      </c>
      <c r="E976" s="1">
        <v>46232.583333333343</v>
      </c>
      <c r="F976">
        <v>3</v>
      </c>
      <c r="G976">
        <v>24</v>
      </c>
      <c r="H976" t="s">
        <v>17</v>
      </c>
      <c r="I976" t="s">
        <v>31</v>
      </c>
      <c r="J976">
        <v>8</v>
      </c>
      <c r="K976">
        <v>2026</v>
      </c>
      <c r="L976">
        <v>7</v>
      </c>
      <c r="M976">
        <v>14</v>
      </c>
      <c r="N976" t="s">
        <v>19</v>
      </c>
      <c r="O976" t="s">
        <v>13</v>
      </c>
      <c r="P976" t="s">
        <v>53</v>
      </c>
      <c r="Q976" t="s">
        <v>50</v>
      </c>
    </row>
    <row r="977" spans="1:17" x14ac:dyDescent="0.35">
      <c r="A977">
        <v>988</v>
      </c>
      <c r="B977">
        <v>10</v>
      </c>
      <c r="C977">
        <v>8</v>
      </c>
      <c r="D977">
        <v>3</v>
      </c>
      <c r="E977" s="1">
        <v>46316.9375</v>
      </c>
      <c r="F977">
        <v>4</v>
      </c>
      <c r="G977">
        <v>36</v>
      </c>
      <c r="H977" t="s">
        <v>22</v>
      </c>
      <c r="I977" t="s">
        <v>27</v>
      </c>
      <c r="J977">
        <v>9</v>
      </c>
      <c r="K977">
        <v>2026</v>
      </c>
      <c r="L977">
        <v>10</v>
      </c>
      <c r="M977">
        <v>22</v>
      </c>
      <c r="N977" t="s">
        <v>19</v>
      </c>
      <c r="O977" t="s">
        <v>13</v>
      </c>
      <c r="P977" t="s">
        <v>42</v>
      </c>
      <c r="Q977" t="s">
        <v>45</v>
      </c>
    </row>
    <row r="978" spans="1:17" x14ac:dyDescent="0.35">
      <c r="A978">
        <v>989</v>
      </c>
      <c r="B978">
        <v>13</v>
      </c>
      <c r="C978">
        <v>4</v>
      </c>
      <c r="D978">
        <v>8</v>
      </c>
      <c r="E978" s="1">
        <v>46329.604166666657</v>
      </c>
      <c r="F978">
        <v>3</v>
      </c>
      <c r="G978">
        <v>24</v>
      </c>
      <c r="H978" t="s">
        <v>22</v>
      </c>
      <c r="I978" t="s">
        <v>27</v>
      </c>
      <c r="J978">
        <v>8</v>
      </c>
      <c r="K978">
        <v>2026</v>
      </c>
      <c r="L978">
        <v>11</v>
      </c>
      <c r="M978">
        <v>14</v>
      </c>
      <c r="N978" t="s">
        <v>37</v>
      </c>
      <c r="O978" t="s">
        <v>13</v>
      </c>
      <c r="P978" t="s">
        <v>55</v>
      </c>
      <c r="Q978" t="s">
        <v>46</v>
      </c>
    </row>
    <row r="979" spans="1:17" x14ac:dyDescent="0.35">
      <c r="A979">
        <v>990</v>
      </c>
      <c r="B979">
        <v>9</v>
      </c>
      <c r="C979">
        <v>3</v>
      </c>
      <c r="D979">
        <v>8</v>
      </c>
      <c r="E979" s="1">
        <v>46168.604166666657</v>
      </c>
      <c r="F979">
        <v>5</v>
      </c>
      <c r="G979">
        <v>40</v>
      </c>
      <c r="H979" t="s">
        <v>22</v>
      </c>
      <c r="I979" t="s">
        <v>18</v>
      </c>
      <c r="J979">
        <v>8</v>
      </c>
      <c r="K979">
        <v>2026</v>
      </c>
      <c r="L979">
        <v>5</v>
      </c>
      <c r="M979">
        <v>14</v>
      </c>
      <c r="N979" t="s">
        <v>37</v>
      </c>
      <c r="O979" t="s">
        <v>13</v>
      </c>
      <c r="P979" t="s">
        <v>20</v>
      </c>
      <c r="Q979" t="s">
        <v>46</v>
      </c>
    </row>
    <row r="980" spans="1:17" x14ac:dyDescent="0.35">
      <c r="A980">
        <v>991</v>
      </c>
      <c r="B980">
        <v>10</v>
      </c>
      <c r="C980">
        <v>18</v>
      </c>
      <c r="D980">
        <v>8</v>
      </c>
      <c r="E980" s="1">
        <v>46308.854166666657</v>
      </c>
      <c r="F980">
        <v>4</v>
      </c>
      <c r="G980">
        <v>32</v>
      </c>
      <c r="H980" t="s">
        <v>17</v>
      </c>
      <c r="I980" t="s">
        <v>27</v>
      </c>
      <c r="J980">
        <v>8</v>
      </c>
      <c r="K980">
        <v>2026</v>
      </c>
      <c r="L980">
        <v>10</v>
      </c>
      <c r="M980">
        <v>20</v>
      </c>
      <c r="N980" t="s">
        <v>37</v>
      </c>
      <c r="O980" t="s">
        <v>13</v>
      </c>
      <c r="P980" t="s">
        <v>47</v>
      </c>
      <c r="Q980" t="s">
        <v>46</v>
      </c>
    </row>
    <row r="981" spans="1:17" x14ac:dyDescent="0.35">
      <c r="A981">
        <v>992</v>
      </c>
      <c r="B981">
        <v>2</v>
      </c>
      <c r="C981">
        <v>13</v>
      </c>
      <c r="D981">
        <v>4</v>
      </c>
      <c r="E981" s="1">
        <v>46030.854166666657</v>
      </c>
      <c r="F981">
        <v>4</v>
      </c>
      <c r="G981">
        <v>32</v>
      </c>
      <c r="H981" t="s">
        <v>22</v>
      </c>
      <c r="I981" t="s">
        <v>18</v>
      </c>
      <c r="J981">
        <v>8</v>
      </c>
      <c r="K981">
        <v>2026</v>
      </c>
      <c r="L981">
        <v>1</v>
      </c>
      <c r="M981">
        <v>20</v>
      </c>
      <c r="N981" t="s">
        <v>41</v>
      </c>
      <c r="O981" t="s">
        <v>13</v>
      </c>
      <c r="P981" t="s">
        <v>49</v>
      </c>
      <c r="Q981" t="s">
        <v>26</v>
      </c>
    </row>
    <row r="982" spans="1:17" x14ac:dyDescent="0.35">
      <c r="A982">
        <v>993</v>
      </c>
      <c r="B982">
        <v>11</v>
      </c>
      <c r="C982">
        <v>20</v>
      </c>
      <c r="D982">
        <v>7</v>
      </c>
      <c r="E982" s="1">
        <v>46294.895833333343</v>
      </c>
      <c r="F982">
        <v>6</v>
      </c>
      <c r="G982">
        <v>54</v>
      </c>
      <c r="H982" t="s">
        <v>22</v>
      </c>
      <c r="I982" t="s">
        <v>27</v>
      </c>
      <c r="J982">
        <v>9</v>
      </c>
      <c r="K982">
        <v>2026</v>
      </c>
      <c r="L982">
        <v>9</v>
      </c>
      <c r="M982">
        <v>21</v>
      </c>
      <c r="N982" t="s">
        <v>37</v>
      </c>
      <c r="O982" t="s">
        <v>13</v>
      </c>
      <c r="P982" t="s">
        <v>36</v>
      </c>
      <c r="Q982" t="s">
        <v>35</v>
      </c>
    </row>
    <row r="983" spans="1:17" x14ac:dyDescent="0.35">
      <c r="A983">
        <v>994</v>
      </c>
      <c r="B983">
        <v>16</v>
      </c>
      <c r="C983">
        <v>12</v>
      </c>
      <c r="D983">
        <v>1</v>
      </c>
      <c r="E983" s="1">
        <v>46322.895833333343</v>
      </c>
      <c r="F983">
        <v>6</v>
      </c>
      <c r="G983">
        <v>54</v>
      </c>
      <c r="H983" t="s">
        <v>22</v>
      </c>
      <c r="I983" t="s">
        <v>18</v>
      </c>
      <c r="J983">
        <v>9</v>
      </c>
      <c r="K983">
        <v>2026</v>
      </c>
      <c r="L983">
        <v>10</v>
      </c>
      <c r="M983">
        <v>21</v>
      </c>
      <c r="N983" t="s">
        <v>37</v>
      </c>
      <c r="O983" t="s">
        <v>13</v>
      </c>
      <c r="P983" t="s">
        <v>57</v>
      </c>
      <c r="Q983" t="s">
        <v>40</v>
      </c>
    </row>
    <row r="984" spans="1:17" x14ac:dyDescent="0.35">
      <c r="A984">
        <v>995</v>
      </c>
      <c r="B984">
        <v>2</v>
      </c>
      <c r="C984">
        <v>14</v>
      </c>
      <c r="D984">
        <v>3</v>
      </c>
      <c r="E984" s="1">
        <v>46125.833333333343</v>
      </c>
      <c r="F984">
        <v>5</v>
      </c>
      <c r="G984">
        <v>40</v>
      </c>
      <c r="H984" t="s">
        <v>22</v>
      </c>
      <c r="I984" t="s">
        <v>27</v>
      </c>
      <c r="J984">
        <v>8</v>
      </c>
      <c r="K984">
        <v>2026</v>
      </c>
      <c r="L984">
        <v>4</v>
      </c>
      <c r="M984">
        <v>20</v>
      </c>
      <c r="N984" t="s">
        <v>33</v>
      </c>
      <c r="O984" t="s">
        <v>13</v>
      </c>
      <c r="P984" t="s">
        <v>29</v>
      </c>
      <c r="Q984" t="s">
        <v>45</v>
      </c>
    </row>
    <row r="985" spans="1:17" x14ac:dyDescent="0.35">
      <c r="A985">
        <v>996</v>
      </c>
      <c r="B985">
        <v>2</v>
      </c>
      <c r="C985">
        <v>4</v>
      </c>
      <c r="D985">
        <v>1</v>
      </c>
      <c r="E985" s="1">
        <v>46107.916666666657</v>
      </c>
      <c r="F985">
        <v>4</v>
      </c>
      <c r="G985">
        <v>36</v>
      </c>
      <c r="H985" t="s">
        <v>22</v>
      </c>
      <c r="I985" t="s">
        <v>27</v>
      </c>
      <c r="J985">
        <v>9</v>
      </c>
      <c r="K985">
        <v>2026</v>
      </c>
      <c r="L985">
        <v>3</v>
      </c>
      <c r="M985">
        <v>22</v>
      </c>
      <c r="N985" t="s">
        <v>41</v>
      </c>
      <c r="O985" t="s">
        <v>13</v>
      </c>
      <c r="P985" t="s">
        <v>55</v>
      </c>
      <c r="Q985" t="s">
        <v>40</v>
      </c>
    </row>
    <row r="986" spans="1:17" x14ac:dyDescent="0.35">
      <c r="A986">
        <v>997</v>
      </c>
      <c r="B986">
        <v>4</v>
      </c>
      <c r="C986">
        <v>5</v>
      </c>
      <c r="D986">
        <v>8</v>
      </c>
      <c r="E986" s="1">
        <v>46371.6875</v>
      </c>
      <c r="F986">
        <v>2</v>
      </c>
      <c r="G986">
        <v>16</v>
      </c>
      <c r="H986" t="s">
        <v>22</v>
      </c>
      <c r="I986" t="s">
        <v>18</v>
      </c>
      <c r="J986">
        <v>8</v>
      </c>
      <c r="K986">
        <v>2026</v>
      </c>
      <c r="L986">
        <v>12</v>
      </c>
      <c r="M986">
        <v>16</v>
      </c>
      <c r="N986" t="s">
        <v>37</v>
      </c>
      <c r="O986" t="s">
        <v>13</v>
      </c>
      <c r="P986" t="s">
        <v>53</v>
      </c>
      <c r="Q986" t="s">
        <v>46</v>
      </c>
    </row>
    <row r="987" spans="1:17" x14ac:dyDescent="0.35">
      <c r="A987">
        <v>998</v>
      </c>
      <c r="B987">
        <v>9</v>
      </c>
      <c r="C987">
        <v>9</v>
      </c>
      <c r="D987">
        <v>1</v>
      </c>
      <c r="E987" s="1">
        <v>46039.625</v>
      </c>
      <c r="F987">
        <v>3</v>
      </c>
      <c r="G987">
        <v>27</v>
      </c>
      <c r="H987" t="s">
        <v>22</v>
      </c>
      <c r="I987" t="s">
        <v>31</v>
      </c>
      <c r="J987">
        <v>9</v>
      </c>
      <c r="K987">
        <v>2026</v>
      </c>
      <c r="L987">
        <v>1</v>
      </c>
      <c r="M987">
        <v>15</v>
      </c>
      <c r="N987" t="s">
        <v>23</v>
      </c>
      <c r="O987" t="s">
        <v>24</v>
      </c>
      <c r="P987" t="s">
        <v>48</v>
      </c>
      <c r="Q987" t="s">
        <v>40</v>
      </c>
    </row>
    <row r="988" spans="1:17" x14ac:dyDescent="0.35">
      <c r="A988">
        <v>999</v>
      </c>
      <c r="B988">
        <v>12</v>
      </c>
      <c r="C988">
        <v>2</v>
      </c>
      <c r="D988">
        <v>1</v>
      </c>
      <c r="E988" s="1">
        <v>46241.645833333343</v>
      </c>
      <c r="F988">
        <v>6</v>
      </c>
      <c r="G988">
        <v>48</v>
      </c>
      <c r="H988" t="s">
        <v>22</v>
      </c>
      <c r="I988" t="s">
        <v>18</v>
      </c>
      <c r="J988">
        <v>8</v>
      </c>
      <c r="K988">
        <v>2026</v>
      </c>
      <c r="L988">
        <v>8</v>
      </c>
      <c r="M988">
        <v>15</v>
      </c>
      <c r="N988" t="s">
        <v>43</v>
      </c>
      <c r="O988" t="s">
        <v>13</v>
      </c>
      <c r="P988" t="s">
        <v>44</v>
      </c>
      <c r="Q988" t="s">
        <v>40</v>
      </c>
    </row>
    <row r="989" spans="1:17" x14ac:dyDescent="0.35">
      <c r="A989">
        <v>1000</v>
      </c>
      <c r="B989">
        <v>16</v>
      </c>
      <c r="C989">
        <v>16</v>
      </c>
      <c r="D989">
        <v>6</v>
      </c>
      <c r="E989" s="1">
        <v>46244.645833333343</v>
      </c>
      <c r="F989">
        <v>2</v>
      </c>
      <c r="G989">
        <v>16</v>
      </c>
      <c r="H989" t="s">
        <v>22</v>
      </c>
      <c r="I989" t="s">
        <v>18</v>
      </c>
      <c r="J989">
        <v>8</v>
      </c>
      <c r="K989">
        <v>2026</v>
      </c>
      <c r="L989">
        <v>8</v>
      </c>
      <c r="M989">
        <v>15</v>
      </c>
      <c r="N989" t="s">
        <v>33</v>
      </c>
      <c r="O989" t="s">
        <v>13</v>
      </c>
      <c r="P989" t="s">
        <v>51</v>
      </c>
      <c r="Q989" t="s">
        <v>21</v>
      </c>
    </row>
    <row r="990" spans="1:17" x14ac:dyDescent="0.35">
      <c r="A990">
        <v>1001</v>
      </c>
      <c r="B990">
        <v>11</v>
      </c>
      <c r="C990">
        <v>8</v>
      </c>
      <c r="D990">
        <v>2</v>
      </c>
      <c r="E990" s="1">
        <v>46143.875</v>
      </c>
      <c r="F990">
        <v>6</v>
      </c>
      <c r="G990">
        <v>54</v>
      </c>
      <c r="H990" t="s">
        <v>22</v>
      </c>
      <c r="I990" t="s">
        <v>18</v>
      </c>
      <c r="J990">
        <v>9</v>
      </c>
      <c r="K990">
        <v>2026</v>
      </c>
      <c r="L990">
        <v>5</v>
      </c>
      <c r="M990">
        <v>21</v>
      </c>
      <c r="N990" t="s">
        <v>43</v>
      </c>
      <c r="O990" t="s">
        <v>13</v>
      </c>
      <c r="P990" t="s">
        <v>42</v>
      </c>
      <c r="Q990" t="s">
        <v>54</v>
      </c>
    </row>
    <row r="991" spans="1:17" x14ac:dyDescent="0.35">
      <c r="A991">
        <v>1002</v>
      </c>
      <c r="B991">
        <v>16</v>
      </c>
      <c r="C991">
        <v>3</v>
      </c>
      <c r="D991">
        <v>6</v>
      </c>
      <c r="E991" s="1">
        <v>46376.583333333343</v>
      </c>
      <c r="F991">
        <v>5</v>
      </c>
      <c r="G991">
        <v>45</v>
      </c>
      <c r="H991" t="s">
        <v>22</v>
      </c>
      <c r="I991" t="s">
        <v>18</v>
      </c>
      <c r="J991">
        <v>9</v>
      </c>
      <c r="K991">
        <v>2026</v>
      </c>
      <c r="L991">
        <v>12</v>
      </c>
      <c r="M991">
        <v>14</v>
      </c>
      <c r="N991" t="s">
        <v>28</v>
      </c>
      <c r="O991" t="s">
        <v>24</v>
      </c>
      <c r="P991" t="s">
        <v>20</v>
      </c>
      <c r="Q991" t="s">
        <v>21</v>
      </c>
    </row>
    <row r="992" spans="1:17" x14ac:dyDescent="0.35">
      <c r="A992">
        <v>1003</v>
      </c>
      <c r="B992">
        <v>6</v>
      </c>
      <c r="C992">
        <v>7</v>
      </c>
      <c r="D992">
        <v>5</v>
      </c>
      <c r="E992" s="1">
        <v>46209.770833333343</v>
      </c>
      <c r="F992">
        <v>4</v>
      </c>
      <c r="G992">
        <v>32</v>
      </c>
      <c r="H992" t="s">
        <v>22</v>
      </c>
      <c r="I992" t="s">
        <v>31</v>
      </c>
      <c r="J992">
        <v>8</v>
      </c>
      <c r="K992">
        <v>2026</v>
      </c>
      <c r="L992">
        <v>7</v>
      </c>
      <c r="M992">
        <v>18</v>
      </c>
      <c r="N992" t="s">
        <v>33</v>
      </c>
      <c r="O992" t="s">
        <v>13</v>
      </c>
      <c r="P992" t="s">
        <v>34</v>
      </c>
      <c r="Q992" t="s">
        <v>50</v>
      </c>
    </row>
    <row r="993" spans="1:17" x14ac:dyDescent="0.35">
      <c r="A993">
        <v>1004</v>
      </c>
      <c r="B993">
        <v>8</v>
      </c>
      <c r="C993">
        <v>17</v>
      </c>
      <c r="D993">
        <v>2</v>
      </c>
      <c r="E993" s="1">
        <v>46059.666666666657</v>
      </c>
      <c r="F993">
        <v>6</v>
      </c>
      <c r="G993">
        <v>48</v>
      </c>
      <c r="H993" t="s">
        <v>22</v>
      </c>
      <c r="I993" t="s">
        <v>18</v>
      </c>
      <c r="J993">
        <v>8</v>
      </c>
      <c r="K993">
        <v>2026</v>
      </c>
      <c r="L993">
        <v>2</v>
      </c>
      <c r="M993">
        <v>16</v>
      </c>
      <c r="N993" t="s">
        <v>43</v>
      </c>
      <c r="O993" t="s">
        <v>13</v>
      </c>
      <c r="P993" t="s">
        <v>56</v>
      </c>
      <c r="Q993" t="s">
        <v>54</v>
      </c>
    </row>
    <row r="994" spans="1:17" x14ac:dyDescent="0.35">
      <c r="A994">
        <v>1005</v>
      </c>
      <c r="B994">
        <v>18</v>
      </c>
      <c r="C994">
        <v>12</v>
      </c>
      <c r="D994">
        <v>9</v>
      </c>
      <c r="E994" s="1">
        <v>46309.645833333343</v>
      </c>
      <c r="F994">
        <v>3</v>
      </c>
      <c r="G994">
        <v>24</v>
      </c>
      <c r="H994" t="s">
        <v>22</v>
      </c>
      <c r="I994" t="s">
        <v>31</v>
      </c>
      <c r="J994">
        <v>8</v>
      </c>
      <c r="K994">
        <v>2026</v>
      </c>
      <c r="L994">
        <v>10</v>
      </c>
      <c r="M994">
        <v>15</v>
      </c>
      <c r="N994" t="s">
        <v>19</v>
      </c>
      <c r="O994" t="s">
        <v>13</v>
      </c>
      <c r="P994" t="s">
        <v>57</v>
      </c>
      <c r="Q994" t="s">
        <v>30</v>
      </c>
    </row>
    <row r="995" spans="1:17" x14ac:dyDescent="0.35">
      <c r="A995">
        <v>1006</v>
      </c>
      <c r="B995">
        <v>2</v>
      </c>
      <c r="C995">
        <v>19</v>
      </c>
      <c r="D995">
        <v>6</v>
      </c>
      <c r="E995" s="1">
        <v>46045.645833333343</v>
      </c>
      <c r="F995">
        <v>1</v>
      </c>
      <c r="G995">
        <v>8</v>
      </c>
      <c r="H995" t="s">
        <v>22</v>
      </c>
      <c r="I995" t="s">
        <v>31</v>
      </c>
      <c r="J995">
        <v>8</v>
      </c>
      <c r="K995">
        <v>2026</v>
      </c>
      <c r="L995">
        <v>1</v>
      </c>
      <c r="M995">
        <v>15</v>
      </c>
      <c r="N995" t="s">
        <v>43</v>
      </c>
      <c r="O995" t="s">
        <v>13</v>
      </c>
      <c r="P995" t="s">
        <v>58</v>
      </c>
      <c r="Q995" t="s">
        <v>21</v>
      </c>
    </row>
    <row r="996" spans="1:17" x14ac:dyDescent="0.35">
      <c r="A996">
        <v>1007</v>
      </c>
      <c r="B996">
        <v>10</v>
      </c>
      <c r="C996">
        <v>2</v>
      </c>
      <c r="D996">
        <v>1</v>
      </c>
      <c r="E996" s="1">
        <v>46193.9375</v>
      </c>
      <c r="F996">
        <v>6</v>
      </c>
      <c r="G996">
        <v>60</v>
      </c>
      <c r="H996" t="s">
        <v>17</v>
      </c>
      <c r="I996" t="s">
        <v>31</v>
      </c>
      <c r="J996">
        <v>10</v>
      </c>
      <c r="K996">
        <v>2026</v>
      </c>
      <c r="L996">
        <v>6</v>
      </c>
      <c r="M996">
        <v>22</v>
      </c>
      <c r="N996" t="s">
        <v>23</v>
      </c>
      <c r="O996" t="s">
        <v>24</v>
      </c>
      <c r="P996" t="s">
        <v>44</v>
      </c>
      <c r="Q996" t="s">
        <v>40</v>
      </c>
    </row>
    <row r="997" spans="1:17" x14ac:dyDescent="0.35">
      <c r="A997">
        <v>1008</v>
      </c>
      <c r="B997">
        <v>20</v>
      </c>
      <c r="C997">
        <v>18</v>
      </c>
      <c r="D997">
        <v>9</v>
      </c>
      <c r="E997" s="1">
        <v>46232.958333333343</v>
      </c>
      <c r="F997">
        <v>6</v>
      </c>
      <c r="G997">
        <v>54</v>
      </c>
      <c r="H997" t="s">
        <v>22</v>
      </c>
      <c r="I997" t="s">
        <v>18</v>
      </c>
      <c r="J997">
        <v>9</v>
      </c>
      <c r="K997">
        <v>2026</v>
      </c>
      <c r="L997">
        <v>7</v>
      </c>
      <c r="M997">
        <v>23</v>
      </c>
      <c r="N997" t="s">
        <v>19</v>
      </c>
      <c r="O997" t="s">
        <v>13</v>
      </c>
      <c r="P997" t="s">
        <v>47</v>
      </c>
      <c r="Q997" t="s">
        <v>30</v>
      </c>
    </row>
    <row r="998" spans="1:17" x14ac:dyDescent="0.35">
      <c r="A998">
        <v>1009</v>
      </c>
      <c r="B998">
        <v>14</v>
      </c>
      <c r="C998">
        <v>18</v>
      </c>
      <c r="D998">
        <v>1</v>
      </c>
      <c r="E998" s="1">
        <v>46067.8125</v>
      </c>
      <c r="F998">
        <v>4</v>
      </c>
      <c r="G998">
        <v>36</v>
      </c>
      <c r="H998" t="s">
        <v>22</v>
      </c>
      <c r="I998" t="s">
        <v>27</v>
      </c>
      <c r="J998">
        <v>9</v>
      </c>
      <c r="K998">
        <v>2026</v>
      </c>
      <c r="L998">
        <v>2</v>
      </c>
      <c r="M998">
        <v>19</v>
      </c>
      <c r="N998" t="s">
        <v>23</v>
      </c>
      <c r="O998" t="s">
        <v>24</v>
      </c>
      <c r="P998" t="s">
        <v>47</v>
      </c>
      <c r="Q998" t="s">
        <v>40</v>
      </c>
    </row>
    <row r="999" spans="1:17" x14ac:dyDescent="0.35">
      <c r="A999">
        <v>1010</v>
      </c>
      <c r="B999">
        <v>6</v>
      </c>
      <c r="C999">
        <v>17</v>
      </c>
      <c r="D999">
        <v>6</v>
      </c>
      <c r="E999" s="1">
        <v>46377.833333333343</v>
      </c>
      <c r="F999">
        <v>2</v>
      </c>
      <c r="G999">
        <v>16</v>
      </c>
      <c r="H999" t="s">
        <v>22</v>
      </c>
      <c r="I999" t="s">
        <v>31</v>
      </c>
      <c r="J999">
        <v>8</v>
      </c>
      <c r="K999">
        <v>2026</v>
      </c>
      <c r="L999">
        <v>12</v>
      </c>
      <c r="M999">
        <v>20</v>
      </c>
      <c r="N999" t="s">
        <v>33</v>
      </c>
      <c r="O999" t="s">
        <v>13</v>
      </c>
      <c r="P999" t="s">
        <v>56</v>
      </c>
      <c r="Q999" t="s">
        <v>21</v>
      </c>
    </row>
    <row r="1000" spans="1:17" x14ac:dyDescent="0.35">
      <c r="A1000">
        <v>1011</v>
      </c>
      <c r="B1000">
        <v>10</v>
      </c>
      <c r="C1000">
        <v>12</v>
      </c>
      <c r="D1000">
        <v>2</v>
      </c>
      <c r="E1000" s="1">
        <v>46372.666666666657</v>
      </c>
      <c r="F1000">
        <v>5</v>
      </c>
      <c r="G1000">
        <v>40</v>
      </c>
      <c r="H1000" t="s">
        <v>22</v>
      </c>
      <c r="I1000" t="s">
        <v>18</v>
      </c>
      <c r="J1000">
        <v>8</v>
      </c>
      <c r="K1000">
        <v>2026</v>
      </c>
      <c r="L1000">
        <v>12</v>
      </c>
      <c r="M1000">
        <v>16</v>
      </c>
      <c r="N1000" t="s">
        <v>19</v>
      </c>
      <c r="O1000" t="s">
        <v>13</v>
      </c>
      <c r="P1000" t="s">
        <v>57</v>
      </c>
      <c r="Q1000" t="s">
        <v>54</v>
      </c>
    </row>
    <row r="1001" spans="1:17" x14ac:dyDescent="0.35">
      <c r="A1001">
        <v>1012</v>
      </c>
      <c r="B1001">
        <v>17</v>
      </c>
      <c r="C1001">
        <v>12</v>
      </c>
      <c r="D1001">
        <v>10</v>
      </c>
      <c r="E1001" s="1">
        <v>46115.666666666657</v>
      </c>
      <c r="F1001">
        <v>6</v>
      </c>
      <c r="G1001">
        <v>48</v>
      </c>
      <c r="H1001" t="s">
        <v>22</v>
      </c>
      <c r="I1001" t="s">
        <v>18</v>
      </c>
      <c r="J1001">
        <v>8</v>
      </c>
      <c r="K1001">
        <v>2026</v>
      </c>
      <c r="L1001">
        <v>4</v>
      </c>
      <c r="M1001">
        <v>16</v>
      </c>
      <c r="N1001" t="s">
        <v>43</v>
      </c>
      <c r="O1001" t="s">
        <v>13</v>
      </c>
      <c r="P1001" t="s">
        <v>57</v>
      </c>
      <c r="Q1001"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FACC6-13AE-482F-8E31-C4B5226EF9C6}">
  <dimension ref="A1:Q114"/>
  <sheetViews>
    <sheetView workbookViewId="0">
      <selection sqref="A1:Q114"/>
    </sheetView>
  </sheetViews>
  <sheetFormatPr defaultRowHeight="14.5" x14ac:dyDescent="0.35"/>
  <cols>
    <col min="1" max="1" width="12.08984375" customWidth="1"/>
    <col min="2" max="2" width="13.26953125" customWidth="1"/>
    <col min="3" max="3" width="10.453125" customWidth="1"/>
    <col min="4" max="4" width="11.6328125" customWidth="1"/>
    <col min="5" max="5" width="12.08984375" customWidth="1"/>
    <col min="6" max="6" width="14.54296875" customWidth="1"/>
    <col min="7" max="7" width="15.1796875" customWidth="1"/>
    <col min="8" max="8" width="15.7265625" customWidth="1"/>
    <col min="9" max="9" width="17.90625" customWidth="1"/>
    <col min="10" max="10" width="12.6328125" customWidth="1"/>
    <col min="14" max="14" width="10.26953125" customWidth="1"/>
    <col min="15" max="15" width="10.54296875" customWidth="1"/>
    <col min="16" max="16" width="13.6328125" customWidth="1"/>
    <col min="17" max="17" width="14.81640625"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v>13</v>
      </c>
      <c r="B2">
        <v>1</v>
      </c>
      <c r="C2">
        <v>3</v>
      </c>
      <c r="D2">
        <v>6</v>
      </c>
      <c r="E2" s="21">
        <v>46365.958333333336</v>
      </c>
      <c r="F2">
        <v>6</v>
      </c>
      <c r="G2">
        <v>54</v>
      </c>
      <c r="H2" t="s">
        <v>17</v>
      </c>
      <c r="I2" t="s">
        <v>18</v>
      </c>
      <c r="J2">
        <v>9</v>
      </c>
      <c r="K2">
        <v>2026</v>
      </c>
      <c r="L2">
        <v>12</v>
      </c>
      <c r="M2">
        <v>23</v>
      </c>
      <c r="N2" t="s">
        <v>19</v>
      </c>
      <c r="O2" t="s">
        <v>13</v>
      </c>
      <c r="P2" t="s">
        <v>20</v>
      </c>
      <c r="Q2" t="s">
        <v>21</v>
      </c>
    </row>
    <row r="3" spans="1:17" x14ac:dyDescent="0.35">
      <c r="A3">
        <v>1010</v>
      </c>
      <c r="B3">
        <v>6</v>
      </c>
      <c r="C3">
        <v>17</v>
      </c>
      <c r="D3">
        <v>6</v>
      </c>
      <c r="E3" s="21">
        <v>46377.833333333336</v>
      </c>
      <c r="F3">
        <v>2</v>
      </c>
      <c r="G3">
        <v>16</v>
      </c>
      <c r="H3" t="s">
        <v>22</v>
      </c>
      <c r="I3" t="s">
        <v>31</v>
      </c>
      <c r="J3">
        <v>8</v>
      </c>
      <c r="K3">
        <v>2026</v>
      </c>
      <c r="L3">
        <v>12</v>
      </c>
      <c r="M3">
        <v>20</v>
      </c>
      <c r="N3" t="s">
        <v>33</v>
      </c>
      <c r="O3" t="s">
        <v>13</v>
      </c>
      <c r="P3" t="s">
        <v>56</v>
      </c>
      <c r="Q3" t="s">
        <v>21</v>
      </c>
    </row>
    <row r="4" spans="1:17" x14ac:dyDescent="0.35">
      <c r="A4">
        <v>1006</v>
      </c>
      <c r="B4">
        <v>2</v>
      </c>
      <c r="C4">
        <v>19</v>
      </c>
      <c r="D4">
        <v>6</v>
      </c>
      <c r="E4" s="21">
        <v>46045.645833333336</v>
      </c>
      <c r="F4">
        <v>1</v>
      </c>
      <c r="G4">
        <v>8</v>
      </c>
      <c r="H4" t="s">
        <v>22</v>
      </c>
      <c r="I4" t="s">
        <v>31</v>
      </c>
      <c r="J4">
        <v>8</v>
      </c>
      <c r="K4">
        <v>2026</v>
      </c>
      <c r="L4">
        <v>1</v>
      </c>
      <c r="M4">
        <v>15</v>
      </c>
      <c r="N4" t="s">
        <v>43</v>
      </c>
      <c r="O4" t="s">
        <v>13</v>
      </c>
      <c r="P4" t="s">
        <v>58</v>
      </c>
      <c r="Q4" t="s">
        <v>21</v>
      </c>
    </row>
    <row r="5" spans="1:17" x14ac:dyDescent="0.35">
      <c r="A5">
        <v>1002</v>
      </c>
      <c r="B5">
        <v>16</v>
      </c>
      <c r="C5">
        <v>3</v>
      </c>
      <c r="D5">
        <v>6</v>
      </c>
      <c r="E5" s="21">
        <v>46376.583333333336</v>
      </c>
      <c r="F5">
        <v>5</v>
      </c>
      <c r="G5">
        <v>45</v>
      </c>
      <c r="H5" t="s">
        <v>22</v>
      </c>
      <c r="I5" t="s">
        <v>18</v>
      </c>
      <c r="J5">
        <v>9</v>
      </c>
      <c r="K5">
        <v>2026</v>
      </c>
      <c r="L5">
        <v>12</v>
      </c>
      <c r="M5">
        <v>14</v>
      </c>
      <c r="N5" t="s">
        <v>28</v>
      </c>
      <c r="O5" t="s">
        <v>24</v>
      </c>
      <c r="P5" t="s">
        <v>20</v>
      </c>
      <c r="Q5" t="s">
        <v>21</v>
      </c>
    </row>
    <row r="6" spans="1:17" x14ac:dyDescent="0.35">
      <c r="A6">
        <v>1000</v>
      </c>
      <c r="B6">
        <v>16</v>
      </c>
      <c r="C6">
        <v>16</v>
      </c>
      <c r="D6">
        <v>6</v>
      </c>
      <c r="E6" s="21">
        <v>46244.645833333336</v>
      </c>
      <c r="F6">
        <v>2</v>
      </c>
      <c r="G6">
        <v>16</v>
      </c>
      <c r="H6" t="s">
        <v>22</v>
      </c>
      <c r="I6" t="s">
        <v>18</v>
      </c>
      <c r="J6">
        <v>8</v>
      </c>
      <c r="K6">
        <v>2026</v>
      </c>
      <c r="L6">
        <v>8</v>
      </c>
      <c r="M6">
        <v>15</v>
      </c>
      <c r="N6" t="s">
        <v>33</v>
      </c>
      <c r="O6" t="s">
        <v>13</v>
      </c>
      <c r="P6" t="s">
        <v>51</v>
      </c>
      <c r="Q6" t="s">
        <v>21</v>
      </c>
    </row>
    <row r="7" spans="1:17" x14ac:dyDescent="0.35">
      <c r="A7">
        <v>18</v>
      </c>
      <c r="B7">
        <v>17</v>
      </c>
      <c r="C7">
        <v>20</v>
      </c>
      <c r="D7">
        <v>6</v>
      </c>
      <c r="E7" s="21">
        <v>46106.770833333336</v>
      </c>
      <c r="F7">
        <v>6</v>
      </c>
      <c r="G7">
        <v>48</v>
      </c>
      <c r="H7" t="s">
        <v>22</v>
      </c>
      <c r="I7" t="s">
        <v>31</v>
      </c>
      <c r="J7">
        <v>8</v>
      </c>
      <c r="K7">
        <v>2026</v>
      </c>
      <c r="L7">
        <v>3</v>
      </c>
      <c r="M7">
        <v>18</v>
      </c>
      <c r="N7" t="s">
        <v>19</v>
      </c>
      <c r="O7" t="s">
        <v>13</v>
      </c>
      <c r="P7" t="s">
        <v>36</v>
      </c>
      <c r="Q7" t="s">
        <v>21</v>
      </c>
    </row>
    <row r="8" spans="1:17" x14ac:dyDescent="0.35">
      <c r="A8">
        <v>985</v>
      </c>
      <c r="B8">
        <v>7</v>
      </c>
      <c r="C8">
        <v>11</v>
      </c>
      <c r="D8">
        <v>6</v>
      </c>
      <c r="E8" s="21">
        <v>46093.8125</v>
      </c>
      <c r="F8">
        <v>5</v>
      </c>
      <c r="G8">
        <v>40</v>
      </c>
      <c r="H8" t="s">
        <v>22</v>
      </c>
      <c r="I8" t="s">
        <v>31</v>
      </c>
      <c r="J8">
        <v>8</v>
      </c>
      <c r="K8">
        <v>2026</v>
      </c>
      <c r="L8">
        <v>3</v>
      </c>
      <c r="M8">
        <v>19</v>
      </c>
      <c r="N8" t="s">
        <v>41</v>
      </c>
      <c r="O8" t="s">
        <v>13</v>
      </c>
      <c r="P8" t="s">
        <v>59</v>
      </c>
      <c r="Q8" t="s">
        <v>21</v>
      </c>
    </row>
    <row r="9" spans="1:17" x14ac:dyDescent="0.35">
      <c r="A9">
        <v>983</v>
      </c>
      <c r="B9">
        <v>3</v>
      </c>
      <c r="C9">
        <v>17</v>
      </c>
      <c r="D9">
        <v>6</v>
      </c>
      <c r="E9" s="21">
        <v>46205.583333333336</v>
      </c>
      <c r="F9">
        <v>5</v>
      </c>
      <c r="G9">
        <v>40</v>
      </c>
      <c r="H9" t="s">
        <v>22</v>
      </c>
      <c r="I9" t="s">
        <v>31</v>
      </c>
      <c r="J9">
        <v>8</v>
      </c>
      <c r="K9">
        <v>2026</v>
      </c>
      <c r="L9">
        <v>7</v>
      </c>
      <c r="M9">
        <v>14</v>
      </c>
      <c r="N9" t="s">
        <v>41</v>
      </c>
      <c r="O9" t="s">
        <v>13</v>
      </c>
      <c r="P9" t="s">
        <v>56</v>
      </c>
      <c r="Q9" t="s">
        <v>21</v>
      </c>
    </row>
    <row r="10" spans="1:17" x14ac:dyDescent="0.35">
      <c r="A10">
        <v>980</v>
      </c>
      <c r="B10">
        <v>7</v>
      </c>
      <c r="C10">
        <v>2</v>
      </c>
      <c r="D10">
        <v>6</v>
      </c>
      <c r="E10" s="21">
        <v>46062.729166666664</v>
      </c>
      <c r="F10">
        <v>5</v>
      </c>
      <c r="G10">
        <v>40</v>
      </c>
      <c r="H10" t="s">
        <v>22</v>
      </c>
      <c r="I10" t="s">
        <v>18</v>
      </c>
      <c r="J10">
        <v>8</v>
      </c>
      <c r="K10">
        <v>2026</v>
      </c>
      <c r="L10">
        <v>2</v>
      </c>
      <c r="M10">
        <v>17</v>
      </c>
      <c r="N10" t="s">
        <v>33</v>
      </c>
      <c r="O10" t="s">
        <v>13</v>
      </c>
      <c r="P10" t="s">
        <v>44</v>
      </c>
      <c r="Q10" t="s">
        <v>21</v>
      </c>
    </row>
    <row r="11" spans="1:17" x14ac:dyDescent="0.35">
      <c r="A11">
        <v>968</v>
      </c>
      <c r="B11">
        <v>8</v>
      </c>
      <c r="C11">
        <v>20</v>
      </c>
      <c r="D11">
        <v>6</v>
      </c>
      <c r="E11" s="21">
        <v>46053.791666666664</v>
      </c>
      <c r="F11">
        <v>1</v>
      </c>
      <c r="G11">
        <v>9</v>
      </c>
      <c r="H11" t="s">
        <v>22</v>
      </c>
      <c r="I11" t="s">
        <v>18</v>
      </c>
      <c r="J11">
        <v>9</v>
      </c>
      <c r="K11">
        <v>2026</v>
      </c>
      <c r="L11">
        <v>1</v>
      </c>
      <c r="M11">
        <v>19</v>
      </c>
      <c r="N11" t="s">
        <v>23</v>
      </c>
      <c r="O11" t="s">
        <v>24</v>
      </c>
      <c r="P11" t="s">
        <v>36</v>
      </c>
      <c r="Q11" t="s">
        <v>21</v>
      </c>
    </row>
    <row r="12" spans="1:17" x14ac:dyDescent="0.35">
      <c r="A12">
        <v>964</v>
      </c>
      <c r="B12">
        <v>20</v>
      </c>
      <c r="C12">
        <v>12</v>
      </c>
      <c r="D12">
        <v>6</v>
      </c>
      <c r="E12" s="21">
        <v>46285.6875</v>
      </c>
      <c r="F12">
        <v>3</v>
      </c>
      <c r="G12">
        <v>27</v>
      </c>
      <c r="H12" t="s">
        <v>22</v>
      </c>
      <c r="I12" t="s">
        <v>18</v>
      </c>
      <c r="J12">
        <v>9</v>
      </c>
      <c r="K12">
        <v>2026</v>
      </c>
      <c r="L12">
        <v>9</v>
      </c>
      <c r="M12">
        <v>16</v>
      </c>
      <c r="N12" t="s">
        <v>28</v>
      </c>
      <c r="O12" t="s">
        <v>24</v>
      </c>
      <c r="P12" t="s">
        <v>57</v>
      </c>
      <c r="Q12" t="s">
        <v>21</v>
      </c>
    </row>
    <row r="13" spans="1:17" x14ac:dyDescent="0.35">
      <c r="A13">
        <v>941</v>
      </c>
      <c r="B13">
        <v>1</v>
      </c>
      <c r="C13">
        <v>3</v>
      </c>
      <c r="D13">
        <v>6</v>
      </c>
      <c r="E13" s="21">
        <v>46186.604166666664</v>
      </c>
      <c r="F13">
        <v>4</v>
      </c>
      <c r="G13">
        <v>36</v>
      </c>
      <c r="H13" t="s">
        <v>22</v>
      </c>
      <c r="I13" t="s">
        <v>27</v>
      </c>
      <c r="J13">
        <v>9</v>
      </c>
      <c r="K13">
        <v>2026</v>
      </c>
      <c r="L13">
        <v>6</v>
      </c>
      <c r="M13">
        <v>14</v>
      </c>
      <c r="N13" t="s">
        <v>23</v>
      </c>
      <c r="O13" t="s">
        <v>24</v>
      </c>
      <c r="P13" t="s">
        <v>20</v>
      </c>
      <c r="Q13" t="s">
        <v>21</v>
      </c>
    </row>
    <row r="14" spans="1:17" x14ac:dyDescent="0.35">
      <c r="A14">
        <v>925</v>
      </c>
      <c r="B14">
        <v>12</v>
      </c>
      <c r="C14">
        <v>8</v>
      </c>
      <c r="D14">
        <v>6</v>
      </c>
      <c r="E14" s="21">
        <v>46071.6875</v>
      </c>
      <c r="F14">
        <v>4</v>
      </c>
      <c r="G14">
        <v>32</v>
      </c>
      <c r="H14" t="s">
        <v>22</v>
      </c>
      <c r="I14" t="s">
        <v>18</v>
      </c>
      <c r="J14">
        <v>8</v>
      </c>
      <c r="K14">
        <v>2026</v>
      </c>
      <c r="L14">
        <v>2</v>
      </c>
      <c r="M14">
        <v>16</v>
      </c>
      <c r="N14" t="s">
        <v>19</v>
      </c>
      <c r="O14" t="s">
        <v>13</v>
      </c>
      <c r="P14" t="s">
        <v>42</v>
      </c>
      <c r="Q14" t="s">
        <v>21</v>
      </c>
    </row>
    <row r="15" spans="1:17" x14ac:dyDescent="0.35">
      <c r="A15">
        <v>920</v>
      </c>
      <c r="B15">
        <v>9</v>
      </c>
      <c r="C15">
        <v>1</v>
      </c>
      <c r="D15">
        <v>6</v>
      </c>
      <c r="E15" s="21">
        <v>46130.604166666664</v>
      </c>
      <c r="F15">
        <v>5</v>
      </c>
      <c r="G15">
        <v>45</v>
      </c>
      <c r="H15" t="s">
        <v>22</v>
      </c>
      <c r="I15" t="s">
        <v>27</v>
      </c>
      <c r="J15">
        <v>9</v>
      </c>
      <c r="K15">
        <v>2026</v>
      </c>
      <c r="L15">
        <v>4</v>
      </c>
      <c r="M15">
        <v>14</v>
      </c>
      <c r="N15" t="s">
        <v>23</v>
      </c>
      <c r="O15" t="s">
        <v>24</v>
      </c>
      <c r="P15" t="s">
        <v>39</v>
      </c>
      <c r="Q15" t="s">
        <v>21</v>
      </c>
    </row>
    <row r="16" spans="1:17" x14ac:dyDescent="0.35">
      <c r="A16">
        <v>919</v>
      </c>
      <c r="B16">
        <v>11</v>
      </c>
      <c r="C16">
        <v>16</v>
      </c>
      <c r="D16">
        <v>6</v>
      </c>
      <c r="E16" s="21">
        <v>46041.604166666664</v>
      </c>
      <c r="F16">
        <v>3</v>
      </c>
      <c r="G16">
        <v>24</v>
      </c>
      <c r="H16" t="s">
        <v>22</v>
      </c>
      <c r="I16" t="s">
        <v>31</v>
      </c>
      <c r="J16">
        <v>8</v>
      </c>
      <c r="K16">
        <v>2026</v>
      </c>
      <c r="L16">
        <v>1</v>
      </c>
      <c r="M16">
        <v>14</v>
      </c>
      <c r="N16" t="s">
        <v>33</v>
      </c>
      <c r="O16" t="s">
        <v>13</v>
      </c>
      <c r="P16" t="s">
        <v>51</v>
      </c>
      <c r="Q16" t="s">
        <v>21</v>
      </c>
    </row>
    <row r="17" spans="1:17" x14ac:dyDescent="0.35">
      <c r="A17">
        <v>882</v>
      </c>
      <c r="B17">
        <v>5</v>
      </c>
      <c r="C17">
        <v>10</v>
      </c>
      <c r="D17">
        <v>6</v>
      </c>
      <c r="E17" s="21">
        <v>46115.854166666664</v>
      </c>
      <c r="F17">
        <v>5</v>
      </c>
      <c r="G17">
        <v>40</v>
      </c>
      <c r="H17" t="s">
        <v>17</v>
      </c>
      <c r="I17" t="s">
        <v>27</v>
      </c>
      <c r="J17">
        <v>8</v>
      </c>
      <c r="K17">
        <v>2026</v>
      </c>
      <c r="L17">
        <v>4</v>
      </c>
      <c r="M17">
        <v>20</v>
      </c>
      <c r="N17" t="s">
        <v>43</v>
      </c>
      <c r="O17" t="s">
        <v>13</v>
      </c>
      <c r="P17" t="s">
        <v>25</v>
      </c>
      <c r="Q17" t="s">
        <v>21</v>
      </c>
    </row>
    <row r="18" spans="1:17" x14ac:dyDescent="0.35">
      <c r="A18">
        <v>867</v>
      </c>
      <c r="B18">
        <v>4</v>
      </c>
      <c r="C18">
        <v>9</v>
      </c>
      <c r="D18">
        <v>6</v>
      </c>
      <c r="E18" s="21">
        <v>46268.854166666664</v>
      </c>
      <c r="F18">
        <v>1</v>
      </c>
      <c r="G18">
        <v>8</v>
      </c>
      <c r="H18" t="s">
        <v>17</v>
      </c>
      <c r="I18" t="s">
        <v>31</v>
      </c>
      <c r="J18">
        <v>8</v>
      </c>
      <c r="K18">
        <v>2026</v>
      </c>
      <c r="L18">
        <v>9</v>
      </c>
      <c r="M18">
        <v>20</v>
      </c>
      <c r="N18" t="s">
        <v>41</v>
      </c>
      <c r="O18" t="s">
        <v>13</v>
      </c>
      <c r="P18" t="s">
        <v>48</v>
      </c>
      <c r="Q18" t="s">
        <v>21</v>
      </c>
    </row>
    <row r="19" spans="1:17" x14ac:dyDescent="0.35">
      <c r="A19">
        <v>858</v>
      </c>
      <c r="B19">
        <v>18</v>
      </c>
      <c r="C19">
        <v>10</v>
      </c>
      <c r="D19">
        <v>6</v>
      </c>
      <c r="E19" s="21">
        <v>46026.625</v>
      </c>
      <c r="F19">
        <v>1</v>
      </c>
      <c r="G19">
        <v>9</v>
      </c>
      <c r="H19" t="s">
        <v>22</v>
      </c>
      <c r="I19" t="s">
        <v>27</v>
      </c>
      <c r="J19">
        <v>9</v>
      </c>
      <c r="K19">
        <v>2026</v>
      </c>
      <c r="L19">
        <v>1</v>
      </c>
      <c r="M19">
        <v>15</v>
      </c>
      <c r="N19" t="s">
        <v>28</v>
      </c>
      <c r="O19" t="s">
        <v>24</v>
      </c>
      <c r="P19" t="s">
        <v>25</v>
      </c>
      <c r="Q19" t="s">
        <v>21</v>
      </c>
    </row>
    <row r="20" spans="1:17" x14ac:dyDescent="0.35">
      <c r="A20">
        <v>846</v>
      </c>
      <c r="B20">
        <v>13</v>
      </c>
      <c r="C20">
        <v>19</v>
      </c>
      <c r="D20">
        <v>6</v>
      </c>
      <c r="E20" s="21">
        <v>46284.8125</v>
      </c>
      <c r="F20">
        <v>1</v>
      </c>
      <c r="G20">
        <v>9</v>
      </c>
      <c r="H20" t="s">
        <v>22</v>
      </c>
      <c r="I20" t="s">
        <v>27</v>
      </c>
      <c r="J20">
        <v>9</v>
      </c>
      <c r="K20">
        <v>2026</v>
      </c>
      <c r="L20">
        <v>9</v>
      </c>
      <c r="M20">
        <v>19</v>
      </c>
      <c r="N20" t="s">
        <v>23</v>
      </c>
      <c r="O20" t="s">
        <v>24</v>
      </c>
      <c r="P20" t="s">
        <v>58</v>
      </c>
      <c r="Q20" t="s">
        <v>21</v>
      </c>
    </row>
    <row r="21" spans="1:17" x14ac:dyDescent="0.35">
      <c r="A21">
        <v>32</v>
      </c>
      <c r="B21">
        <v>13</v>
      </c>
      <c r="C21">
        <v>15</v>
      </c>
      <c r="D21">
        <v>6</v>
      </c>
      <c r="E21" s="21">
        <v>46332.875</v>
      </c>
      <c r="F21">
        <v>1</v>
      </c>
      <c r="G21">
        <v>9</v>
      </c>
      <c r="H21" t="s">
        <v>22</v>
      </c>
      <c r="I21" t="s">
        <v>31</v>
      </c>
      <c r="J21">
        <v>9</v>
      </c>
      <c r="K21">
        <v>2026</v>
      </c>
      <c r="L21">
        <v>11</v>
      </c>
      <c r="M21">
        <v>21</v>
      </c>
      <c r="N21" t="s">
        <v>43</v>
      </c>
      <c r="O21" t="s">
        <v>13</v>
      </c>
      <c r="P21" t="s">
        <v>38</v>
      </c>
      <c r="Q21" t="s">
        <v>21</v>
      </c>
    </row>
    <row r="22" spans="1:17" x14ac:dyDescent="0.35">
      <c r="A22">
        <v>845</v>
      </c>
      <c r="B22">
        <v>9</v>
      </c>
      <c r="C22">
        <v>5</v>
      </c>
      <c r="D22">
        <v>6</v>
      </c>
      <c r="E22" s="21">
        <v>46176.583333333336</v>
      </c>
      <c r="F22">
        <v>6</v>
      </c>
      <c r="G22">
        <v>48</v>
      </c>
      <c r="H22" t="s">
        <v>22</v>
      </c>
      <c r="I22" t="s">
        <v>27</v>
      </c>
      <c r="J22">
        <v>8</v>
      </c>
      <c r="K22">
        <v>2026</v>
      </c>
      <c r="L22">
        <v>6</v>
      </c>
      <c r="M22">
        <v>14</v>
      </c>
      <c r="N22" t="s">
        <v>19</v>
      </c>
      <c r="O22" t="s">
        <v>13</v>
      </c>
      <c r="P22" t="s">
        <v>53</v>
      </c>
      <c r="Q22" t="s">
        <v>21</v>
      </c>
    </row>
    <row r="23" spans="1:17" x14ac:dyDescent="0.35">
      <c r="A23">
        <v>843</v>
      </c>
      <c r="B23">
        <v>4</v>
      </c>
      <c r="C23">
        <v>8</v>
      </c>
      <c r="D23">
        <v>6</v>
      </c>
      <c r="E23" s="21">
        <v>46063.8125</v>
      </c>
      <c r="F23">
        <v>2</v>
      </c>
      <c r="G23">
        <v>16</v>
      </c>
      <c r="H23" t="s">
        <v>22</v>
      </c>
      <c r="I23" t="s">
        <v>18</v>
      </c>
      <c r="J23">
        <v>8</v>
      </c>
      <c r="K23">
        <v>2026</v>
      </c>
      <c r="L23">
        <v>2</v>
      </c>
      <c r="M23">
        <v>19</v>
      </c>
      <c r="N23" t="s">
        <v>37</v>
      </c>
      <c r="O23" t="s">
        <v>13</v>
      </c>
      <c r="P23" t="s">
        <v>42</v>
      </c>
      <c r="Q23" t="s">
        <v>21</v>
      </c>
    </row>
    <row r="24" spans="1:17" x14ac:dyDescent="0.35">
      <c r="A24">
        <v>830</v>
      </c>
      <c r="B24">
        <v>4</v>
      </c>
      <c r="C24">
        <v>9</v>
      </c>
      <c r="D24">
        <v>6</v>
      </c>
      <c r="E24" s="21">
        <v>46314.958333333336</v>
      </c>
      <c r="F24">
        <v>4</v>
      </c>
      <c r="G24">
        <v>36</v>
      </c>
      <c r="H24" t="s">
        <v>22</v>
      </c>
      <c r="I24" t="s">
        <v>18</v>
      </c>
      <c r="J24">
        <v>9</v>
      </c>
      <c r="K24">
        <v>2026</v>
      </c>
      <c r="L24">
        <v>10</v>
      </c>
      <c r="M24">
        <v>23</v>
      </c>
      <c r="N24" t="s">
        <v>33</v>
      </c>
      <c r="O24" t="s">
        <v>13</v>
      </c>
      <c r="P24" t="s">
        <v>48</v>
      </c>
      <c r="Q24" t="s">
        <v>21</v>
      </c>
    </row>
    <row r="25" spans="1:17" x14ac:dyDescent="0.35">
      <c r="A25">
        <v>820</v>
      </c>
      <c r="B25">
        <v>18</v>
      </c>
      <c r="C25">
        <v>11</v>
      </c>
      <c r="D25">
        <v>6</v>
      </c>
      <c r="E25" s="21">
        <v>46320.75</v>
      </c>
      <c r="F25">
        <v>2</v>
      </c>
      <c r="G25">
        <v>18</v>
      </c>
      <c r="H25" t="s">
        <v>17</v>
      </c>
      <c r="I25" t="s">
        <v>27</v>
      </c>
      <c r="J25">
        <v>9</v>
      </c>
      <c r="K25">
        <v>2026</v>
      </c>
      <c r="L25">
        <v>10</v>
      </c>
      <c r="M25">
        <v>18</v>
      </c>
      <c r="N25" t="s">
        <v>28</v>
      </c>
      <c r="O25" t="s">
        <v>24</v>
      </c>
      <c r="P25" t="s">
        <v>59</v>
      </c>
      <c r="Q25" t="s">
        <v>21</v>
      </c>
    </row>
    <row r="26" spans="1:17" x14ac:dyDescent="0.35">
      <c r="A26">
        <v>818</v>
      </c>
      <c r="B26">
        <v>10</v>
      </c>
      <c r="C26">
        <v>19</v>
      </c>
      <c r="D26">
        <v>6</v>
      </c>
      <c r="E26" s="21">
        <v>46334.75</v>
      </c>
      <c r="F26">
        <v>3</v>
      </c>
      <c r="G26">
        <v>27</v>
      </c>
      <c r="H26" t="s">
        <v>22</v>
      </c>
      <c r="I26" t="s">
        <v>31</v>
      </c>
      <c r="J26">
        <v>9</v>
      </c>
      <c r="K26">
        <v>2026</v>
      </c>
      <c r="L26">
        <v>11</v>
      </c>
      <c r="M26">
        <v>18</v>
      </c>
      <c r="N26" t="s">
        <v>28</v>
      </c>
      <c r="O26" t="s">
        <v>24</v>
      </c>
      <c r="P26" t="s">
        <v>58</v>
      </c>
      <c r="Q26" t="s">
        <v>21</v>
      </c>
    </row>
    <row r="27" spans="1:17" x14ac:dyDescent="0.35">
      <c r="A27">
        <v>806</v>
      </c>
      <c r="B27">
        <v>11</v>
      </c>
      <c r="C27">
        <v>14</v>
      </c>
      <c r="D27">
        <v>6</v>
      </c>
      <c r="E27" s="21">
        <v>46342.916666666664</v>
      </c>
      <c r="F27">
        <v>4</v>
      </c>
      <c r="G27">
        <v>36</v>
      </c>
      <c r="H27" t="s">
        <v>22</v>
      </c>
      <c r="I27" t="s">
        <v>18</v>
      </c>
      <c r="J27">
        <v>9</v>
      </c>
      <c r="K27">
        <v>2026</v>
      </c>
      <c r="L27">
        <v>11</v>
      </c>
      <c r="M27">
        <v>22</v>
      </c>
      <c r="N27" t="s">
        <v>33</v>
      </c>
      <c r="O27" t="s">
        <v>13</v>
      </c>
      <c r="P27" t="s">
        <v>29</v>
      </c>
      <c r="Q27" t="s">
        <v>21</v>
      </c>
    </row>
    <row r="28" spans="1:17" x14ac:dyDescent="0.35">
      <c r="A28">
        <v>795</v>
      </c>
      <c r="B28">
        <v>6</v>
      </c>
      <c r="C28">
        <v>17</v>
      </c>
      <c r="D28">
        <v>6</v>
      </c>
      <c r="E28" s="21">
        <v>46222.770833333336</v>
      </c>
      <c r="F28">
        <v>5</v>
      </c>
      <c r="G28">
        <v>45</v>
      </c>
      <c r="H28" t="s">
        <v>22</v>
      </c>
      <c r="I28" t="s">
        <v>31</v>
      </c>
      <c r="J28">
        <v>9</v>
      </c>
      <c r="K28">
        <v>2026</v>
      </c>
      <c r="L28">
        <v>7</v>
      </c>
      <c r="M28">
        <v>18</v>
      </c>
      <c r="N28" t="s">
        <v>28</v>
      </c>
      <c r="O28" t="s">
        <v>24</v>
      </c>
      <c r="P28" t="s">
        <v>56</v>
      </c>
      <c r="Q28" t="s">
        <v>21</v>
      </c>
    </row>
    <row r="29" spans="1:17" x14ac:dyDescent="0.35">
      <c r="A29">
        <v>791</v>
      </c>
      <c r="B29">
        <v>20</v>
      </c>
      <c r="C29">
        <v>12</v>
      </c>
      <c r="D29">
        <v>6</v>
      </c>
      <c r="E29" s="21">
        <v>46251.583333333336</v>
      </c>
      <c r="F29">
        <v>1</v>
      </c>
      <c r="G29">
        <v>8</v>
      </c>
      <c r="H29" t="s">
        <v>22</v>
      </c>
      <c r="I29" t="s">
        <v>18</v>
      </c>
      <c r="J29">
        <v>8</v>
      </c>
      <c r="K29">
        <v>2026</v>
      </c>
      <c r="L29">
        <v>8</v>
      </c>
      <c r="M29">
        <v>14</v>
      </c>
      <c r="N29" t="s">
        <v>33</v>
      </c>
      <c r="O29" t="s">
        <v>13</v>
      </c>
      <c r="P29" t="s">
        <v>57</v>
      </c>
      <c r="Q29" t="s">
        <v>21</v>
      </c>
    </row>
    <row r="30" spans="1:17" x14ac:dyDescent="0.35">
      <c r="A30">
        <v>790</v>
      </c>
      <c r="B30">
        <v>11</v>
      </c>
      <c r="C30">
        <v>20</v>
      </c>
      <c r="D30">
        <v>6</v>
      </c>
      <c r="E30" s="21">
        <v>46375.729166666664</v>
      </c>
      <c r="F30">
        <v>4</v>
      </c>
      <c r="G30">
        <v>36</v>
      </c>
      <c r="H30" t="s">
        <v>17</v>
      </c>
      <c r="I30" t="s">
        <v>31</v>
      </c>
      <c r="J30">
        <v>9</v>
      </c>
      <c r="K30">
        <v>2026</v>
      </c>
      <c r="L30">
        <v>12</v>
      </c>
      <c r="M30">
        <v>17</v>
      </c>
      <c r="N30" t="s">
        <v>23</v>
      </c>
      <c r="O30" t="s">
        <v>24</v>
      </c>
      <c r="P30" t="s">
        <v>36</v>
      </c>
      <c r="Q30" t="s">
        <v>21</v>
      </c>
    </row>
    <row r="31" spans="1:17" x14ac:dyDescent="0.35">
      <c r="A31">
        <v>782</v>
      </c>
      <c r="B31">
        <v>1</v>
      </c>
      <c r="C31">
        <v>5</v>
      </c>
      <c r="D31">
        <v>6</v>
      </c>
      <c r="E31" s="21">
        <v>46279.729166666664</v>
      </c>
      <c r="F31">
        <v>3</v>
      </c>
      <c r="G31">
        <v>24</v>
      </c>
      <c r="H31" t="s">
        <v>22</v>
      </c>
      <c r="I31" t="s">
        <v>18</v>
      </c>
      <c r="J31">
        <v>8</v>
      </c>
      <c r="K31">
        <v>2026</v>
      </c>
      <c r="L31">
        <v>9</v>
      </c>
      <c r="M31">
        <v>17</v>
      </c>
      <c r="N31" t="s">
        <v>33</v>
      </c>
      <c r="O31" t="s">
        <v>13</v>
      </c>
      <c r="P31" t="s">
        <v>53</v>
      </c>
      <c r="Q31" t="s">
        <v>21</v>
      </c>
    </row>
    <row r="32" spans="1:17" x14ac:dyDescent="0.35">
      <c r="A32">
        <v>780</v>
      </c>
      <c r="B32">
        <v>12</v>
      </c>
      <c r="C32">
        <v>11</v>
      </c>
      <c r="D32">
        <v>6</v>
      </c>
      <c r="E32" s="21">
        <v>46107.583333333336</v>
      </c>
      <c r="F32">
        <v>2</v>
      </c>
      <c r="G32">
        <v>16</v>
      </c>
      <c r="H32" t="s">
        <v>22</v>
      </c>
      <c r="I32" t="s">
        <v>31</v>
      </c>
      <c r="J32">
        <v>8</v>
      </c>
      <c r="K32">
        <v>2026</v>
      </c>
      <c r="L32">
        <v>3</v>
      </c>
      <c r="M32">
        <v>14</v>
      </c>
      <c r="N32" t="s">
        <v>41</v>
      </c>
      <c r="O32" t="s">
        <v>13</v>
      </c>
      <c r="P32" t="s">
        <v>59</v>
      </c>
      <c r="Q32" t="s">
        <v>21</v>
      </c>
    </row>
    <row r="33" spans="1:17" x14ac:dyDescent="0.35">
      <c r="A33">
        <v>44</v>
      </c>
      <c r="B33">
        <v>13</v>
      </c>
      <c r="C33">
        <v>20</v>
      </c>
      <c r="D33">
        <v>6</v>
      </c>
      <c r="E33" s="21">
        <v>46039.9375</v>
      </c>
      <c r="F33">
        <v>4</v>
      </c>
      <c r="G33">
        <v>40</v>
      </c>
      <c r="H33" t="s">
        <v>22</v>
      </c>
      <c r="I33" t="s">
        <v>27</v>
      </c>
      <c r="J33">
        <v>10</v>
      </c>
      <c r="K33">
        <v>2026</v>
      </c>
      <c r="L33">
        <v>1</v>
      </c>
      <c r="M33">
        <v>22</v>
      </c>
      <c r="N33" t="s">
        <v>23</v>
      </c>
      <c r="O33" t="s">
        <v>24</v>
      </c>
      <c r="P33" t="s">
        <v>36</v>
      </c>
      <c r="Q33" t="s">
        <v>21</v>
      </c>
    </row>
    <row r="34" spans="1:17" x14ac:dyDescent="0.35">
      <c r="A34">
        <v>774</v>
      </c>
      <c r="B34">
        <v>6</v>
      </c>
      <c r="C34">
        <v>5</v>
      </c>
      <c r="D34">
        <v>6</v>
      </c>
      <c r="E34" s="21">
        <v>46041.895833333336</v>
      </c>
      <c r="F34">
        <v>3</v>
      </c>
      <c r="G34">
        <v>27</v>
      </c>
      <c r="H34" t="s">
        <v>22</v>
      </c>
      <c r="I34" t="s">
        <v>27</v>
      </c>
      <c r="J34">
        <v>9</v>
      </c>
      <c r="K34">
        <v>2026</v>
      </c>
      <c r="L34">
        <v>1</v>
      </c>
      <c r="M34">
        <v>21</v>
      </c>
      <c r="N34" t="s">
        <v>33</v>
      </c>
      <c r="O34" t="s">
        <v>13</v>
      </c>
      <c r="P34" t="s">
        <v>53</v>
      </c>
      <c r="Q34" t="s">
        <v>21</v>
      </c>
    </row>
    <row r="35" spans="1:17" x14ac:dyDescent="0.35">
      <c r="A35">
        <v>773</v>
      </c>
      <c r="B35">
        <v>12</v>
      </c>
      <c r="C35">
        <v>15</v>
      </c>
      <c r="D35">
        <v>6</v>
      </c>
      <c r="E35" s="21">
        <v>46076.625</v>
      </c>
      <c r="F35">
        <v>3</v>
      </c>
      <c r="G35">
        <v>24</v>
      </c>
      <c r="H35" t="s">
        <v>22</v>
      </c>
      <c r="I35" t="s">
        <v>31</v>
      </c>
      <c r="J35">
        <v>8</v>
      </c>
      <c r="K35">
        <v>2026</v>
      </c>
      <c r="L35">
        <v>2</v>
      </c>
      <c r="M35">
        <v>15</v>
      </c>
      <c r="N35" t="s">
        <v>33</v>
      </c>
      <c r="O35" t="s">
        <v>13</v>
      </c>
      <c r="P35" t="s">
        <v>38</v>
      </c>
      <c r="Q35" t="s">
        <v>21</v>
      </c>
    </row>
    <row r="36" spans="1:17" x14ac:dyDescent="0.35">
      <c r="A36">
        <v>761</v>
      </c>
      <c r="B36">
        <v>1</v>
      </c>
      <c r="C36">
        <v>15</v>
      </c>
      <c r="D36">
        <v>6</v>
      </c>
      <c r="E36" s="21">
        <v>46031.666666666664</v>
      </c>
      <c r="F36">
        <v>5</v>
      </c>
      <c r="G36">
        <v>40</v>
      </c>
      <c r="H36" t="s">
        <v>22</v>
      </c>
      <c r="I36" t="s">
        <v>18</v>
      </c>
      <c r="J36">
        <v>8</v>
      </c>
      <c r="K36">
        <v>2026</v>
      </c>
      <c r="L36">
        <v>1</v>
      </c>
      <c r="M36">
        <v>16</v>
      </c>
      <c r="N36" t="s">
        <v>43</v>
      </c>
      <c r="O36" t="s">
        <v>13</v>
      </c>
      <c r="P36" t="s">
        <v>38</v>
      </c>
      <c r="Q36" t="s">
        <v>21</v>
      </c>
    </row>
    <row r="37" spans="1:17" x14ac:dyDescent="0.35">
      <c r="A37">
        <v>750</v>
      </c>
      <c r="B37">
        <v>5</v>
      </c>
      <c r="C37">
        <v>16</v>
      </c>
      <c r="D37">
        <v>6</v>
      </c>
      <c r="E37" s="21">
        <v>46276.583333333336</v>
      </c>
      <c r="F37">
        <v>1</v>
      </c>
      <c r="G37">
        <v>8</v>
      </c>
      <c r="H37" t="s">
        <v>22</v>
      </c>
      <c r="I37" t="s">
        <v>31</v>
      </c>
      <c r="J37">
        <v>8</v>
      </c>
      <c r="K37">
        <v>2026</v>
      </c>
      <c r="L37">
        <v>9</v>
      </c>
      <c r="M37">
        <v>14</v>
      </c>
      <c r="N37" t="s">
        <v>43</v>
      </c>
      <c r="O37" t="s">
        <v>13</v>
      </c>
      <c r="P37" t="s">
        <v>51</v>
      </c>
      <c r="Q37" t="s">
        <v>21</v>
      </c>
    </row>
    <row r="38" spans="1:17" x14ac:dyDescent="0.35">
      <c r="A38">
        <v>738</v>
      </c>
      <c r="B38">
        <v>12</v>
      </c>
      <c r="C38">
        <v>11</v>
      </c>
      <c r="D38">
        <v>6</v>
      </c>
      <c r="E38" s="21">
        <v>46203.583333333336</v>
      </c>
      <c r="F38">
        <v>1</v>
      </c>
      <c r="G38">
        <v>8</v>
      </c>
      <c r="H38" t="s">
        <v>22</v>
      </c>
      <c r="I38" t="s">
        <v>18</v>
      </c>
      <c r="J38">
        <v>8</v>
      </c>
      <c r="K38">
        <v>2026</v>
      </c>
      <c r="L38">
        <v>6</v>
      </c>
      <c r="M38">
        <v>14</v>
      </c>
      <c r="N38" t="s">
        <v>37</v>
      </c>
      <c r="O38" t="s">
        <v>13</v>
      </c>
      <c r="P38" t="s">
        <v>59</v>
      </c>
      <c r="Q38" t="s">
        <v>21</v>
      </c>
    </row>
    <row r="39" spans="1:17" x14ac:dyDescent="0.35">
      <c r="A39">
        <v>729</v>
      </c>
      <c r="B39">
        <v>7</v>
      </c>
      <c r="C39">
        <v>11</v>
      </c>
      <c r="D39">
        <v>6</v>
      </c>
      <c r="E39" s="21">
        <v>46352.916666666664</v>
      </c>
      <c r="F39">
        <v>3</v>
      </c>
      <c r="G39">
        <v>27</v>
      </c>
      <c r="H39" t="s">
        <v>22</v>
      </c>
      <c r="I39" t="s">
        <v>31</v>
      </c>
      <c r="J39">
        <v>9</v>
      </c>
      <c r="K39">
        <v>2026</v>
      </c>
      <c r="L39">
        <v>11</v>
      </c>
      <c r="M39">
        <v>22</v>
      </c>
      <c r="N39" t="s">
        <v>41</v>
      </c>
      <c r="O39" t="s">
        <v>13</v>
      </c>
      <c r="P39" t="s">
        <v>59</v>
      </c>
      <c r="Q39" t="s">
        <v>21</v>
      </c>
    </row>
    <row r="40" spans="1:17" x14ac:dyDescent="0.35">
      <c r="A40">
        <v>727</v>
      </c>
      <c r="B40">
        <v>14</v>
      </c>
      <c r="C40">
        <v>6</v>
      </c>
      <c r="D40">
        <v>6</v>
      </c>
      <c r="E40" s="21">
        <v>46260.791666666664</v>
      </c>
      <c r="F40">
        <v>4</v>
      </c>
      <c r="G40">
        <v>32</v>
      </c>
      <c r="H40" t="s">
        <v>22</v>
      </c>
      <c r="I40" t="s">
        <v>18</v>
      </c>
      <c r="J40">
        <v>8</v>
      </c>
      <c r="K40">
        <v>2026</v>
      </c>
      <c r="L40">
        <v>8</v>
      </c>
      <c r="M40">
        <v>19</v>
      </c>
      <c r="N40" t="s">
        <v>19</v>
      </c>
      <c r="O40" t="s">
        <v>13</v>
      </c>
      <c r="P40" t="s">
        <v>52</v>
      </c>
      <c r="Q40" t="s">
        <v>21</v>
      </c>
    </row>
    <row r="41" spans="1:17" x14ac:dyDescent="0.35">
      <c r="A41">
        <v>721</v>
      </c>
      <c r="B41">
        <v>11</v>
      </c>
      <c r="C41">
        <v>4</v>
      </c>
      <c r="D41">
        <v>6</v>
      </c>
      <c r="E41" s="21">
        <v>46169.708333333336</v>
      </c>
      <c r="F41">
        <v>1</v>
      </c>
      <c r="G41">
        <v>8</v>
      </c>
      <c r="H41" t="s">
        <v>17</v>
      </c>
      <c r="I41" t="s">
        <v>18</v>
      </c>
      <c r="J41">
        <v>8</v>
      </c>
      <c r="K41">
        <v>2026</v>
      </c>
      <c r="L41">
        <v>5</v>
      </c>
      <c r="M41">
        <v>17</v>
      </c>
      <c r="N41" t="s">
        <v>19</v>
      </c>
      <c r="O41" t="s">
        <v>13</v>
      </c>
      <c r="P41" t="s">
        <v>55</v>
      </c>
      <c r="Q41" t="s">
        <v>21</v>
      </c>
    </row>
    <row r="42" spans="1:17" x14ac:dyDescent="0.35">
      <c r="A42">
        <v>717</v>
      </c>
      <c r="B42">
        <v>10</v>
      </c>
      <c r="C42">
        <v>7</v>
      </c>
      <c r="D42">
        <v>6</v>
      </c>
      <c r="E42" s="21">
        <v>46292.958333333336</v>
      </c>
      <c r="F42">
        <v>1</v>
      </c>
      <c r="G42">
        <v>10</v>
      </c>
      <c r="H42" t="s">
        <v>22</v>
      </c>
      <c r="I42" t="s">
        <v>18</v>
      </c>
      <c r="J42">
        <v>10</v>
      </c>
      <c r="K42">
        <v>2026</v>
      </c>
      <c r="L42">
        <v>9</v>
      </c>
      <c r="M42">
        <v>23</v>
      </c>
      <c r="N42" t="s">
        <v>28</v>
      </c>
      <c r="O42" t="s">
        <v>24</v>
      </c>
      <c r="P42" t="s">
        <v>34</v>
      </c>
      <c r="Q42" t="s">
        <v>21</v>
      </c>
    </row>
    <row r="43" spans="1:17" x14ac:dyDescent="0.35">
      <c r="A43">
        <v>690</v>
      </c>
      <c r="B43">
        <v>15</v>
      </c>
      <c r="C43">
        <v>19</v>
      </c>
      <c r="D43">
        <v>6</v>
      </c>
      <c r="E43" s="21">
        <v>46039.645833333336</v>
      </c>
      <c r="F43">
        <v>2</v>
      </c>
      <c r="G43">
        <v>18</v>
      </c>
      <c r="H43" t="s">
        <v>22</v>
      </c>
      <c r="I43" t="s">
        <v>27</v>
      </c>
      <c r="J43">
        <v>9</v>
      </c>
      <c r="K43">
        <v>2026</v>
      </c>
      <c r="L43">
        <v>1</v>
      </c>
      <c r="M43">
        <v>15</v>
      </c>
      <c r="N43" t="s">
        <v>23</v>
      </c>
      <c r="O43" t="s">
        <v>24</v>
      </c>
      <c r="P43" t="s">
        <v>58</v>
      </c>
      <c r="Q43" t="s">
        <v>21</v>
      </c>
    </row>
    <row r="44" spans="1:17" x14ac:dyDescent="0.35">
      <c r="A44">
        <v>688</v>
      </c>
      <c r="B44">
        <v>5</v>
      </c>
      <c r="C44">
        <v>12</v>
      </c>
      <c r="D44">
        <v>6</v>
      </c>
      <c r="E44" s="21">
        <v>46144.9375</v>
      </c>
      <c r="F44">
        <v>3</v>
      </c>
      <c r="G44">
        <v>30</v>
      </c>
      <c r="H44" t="s">
        <v>22</v>
      </c>
      <c r="I44" t="s">
        <v>31</v>
      </c>
      <c r="J44">
        <v>10</v>
      </c>
      <c r="K44">
        <v>2026</v>
      </c>
      <c r="L44">
        <v>5</v>
      </c>
      <c r="M44">
        <v>22</v>
      </c>
      <c r="N44" t="s">
        <v>23</v>
      </c>
      <c r="O44" t="s">
        <v>24</v>
      </c>
      <c r="P44" t="s">
        <v>57</v>
      </c>
      <c r="Q44" t="s">
        <v>21</v>
      </c>
    </row>
    <row r="45" spans="1:17" x14ac:dyDescent="0.35">
      <c r="A45">
        <v>678</v>
      </c>
      <c r="B45">
        <v>1</v>
      </c>
      <c r="C45">
        <v>19</v>
      </c>
      <c r="D45">
        <v>6</v>
      </c>
      <c r="E45" s="21">
        <v>46063.6875</v>
      </c>
      <c r="F45">
        <v>4</v>
      </c>
      <c r="G45">
        <v>32</v>
      </c>
      <c r="H45" t="s">
        <v>22</v>
      </c>
      <c r="I45" t="s">
        <v>18</v>
      </c>
      <c r="J45">
        <v>8</v>
      </c>
      <c r="K45">
        <v>2026</v>
      </c>
      <c r="L45">
        <v>2</v>
      </c>
      <c r="M45">
        <v>16</v>
      </c>
      <c r="N45" t="s">
        <v>37</v>
      </c>
      <c r="O45" t="s">
        <v>13</v>
      </c>
      <c r="P45" t="s">
        <v>58</v>
      </c>
      <c r="Q45" t="s">
        <v>21</v>
      </c>
    </row>
    <row r="46" spans="1:17" x14ac:dyDescent="0.35">
      <c r="A46">
        <v>673</v>
      </c>
      <c r="B46">
        <v>8</v>
      </c>
      <c r="C46">
        <v>2</v>
      </c>
      <c r="D46">
        <v>6</v>
      </c>
      <c r="E46" s="21">
        <v>46207.958333333336</v>
      </c>
      <c r="F46">
        <v>2</v>
      </c>
      <c r="G46">
        <v>20</v>
      </c>
      <c r="H46" t="s">
        <v>22</v>
      </c>
      <c r="I46" t="s">
        <v>18</v>
      </c>
      <c r="J46">
        <v>10</v>
      </c>
      <c r="K46">
        <v>2026</v>
      </c>
      <c r="L46">
        <v>7</v>
      </c>
      <c r="M46">
        <v>23</v>
      </c>
      <c r="N46" t="s">
        <v>23</v>
      </c>
      <c r="O46" t="s">
        <v>24</v>
      </c>
      <c r="P46" t="s">
        <v>44</v>
      </c>
      <c r="Q46" t="s">
        <v>21</v>
      </c>
    </row>
    <row r="47" spans="1:17" x14ac:dyDescent="0.35">
      <c r="A47">
        <v>58</v>
      </c>
      <c r="B47">
        <v>4</v>
      </c>
      <c r="C47">
        <v>13</v>
      </c>
      <c r="D47">
        <v>6</v>
      </c>
      <c r="E47" s="21">
        <v>46310.604166666664</v>
      </c>
      <c r="F47">
        <v>4</v>
      </c>
      <c r="G47">
        <v>32</v>
      </c>
      <c r="H47" t="s">
        <v>22</v>
      </c>
      <c r="I47" t="s">
        <v>31</v>
      </c>
      <c r="J47">
        <v>8</v>
      </c>
      <c r="K47">
        <v>2026</v>
      </c>
      <c r="L47">
        <v>10</v>
      </c>
      <c r="M47">
        <v>14</v>
      </c>
      <c r="N47" t="s">
        <v>41</v>
      </c>
      <c r="O47" t="s">
        <v>13</v>
      </c>
      <c r="P47" t="s">
        <v>49</v>
      </c>
      <c r="Q47" t="s">
        <v>21</v>
      </c>
    </row>
    <row r="48" spans="1:17" x14ac:dyDescent="0.35">
      <c r="A48">
        <v>668</v>
      </c>
      <c r="B48">
        <v>3</v>
      </c>
      <c r="C48">
        <v>12</v>
      </c>
      <c r="D48">
        <v>6</v>
      </c>
      <c r="E48" s="21">
        <v>46050.854166666664</v>
      </c>
      <c r="F48">
        <v>1</v>
      </c>
      <c r="G48">
        <v>8</v>
      </c>
      <c r="H48" t="s">
        <v>22</v>
      </c>
      <c r="I48" t="s">
        <v>18</v>
      </c>
      <c r="J48">
        <v>8</v>
      </c>
      <c r="K48">
        <v>2026</v>
      </c>
      <c r="L48">
        <v>1</v>
      </c>
      <c r="M48">
        <v>20</v>
      </c>
      <c r="N48" t="s">
        <v>19</v>
      </c>
      <c r="O48" t="s">
        <v>13</v>
      </c>
      <c r="P48" t="s">
        <v>57</v>
      </c>
      <c r="Q48" t="s">
        <v>21</v>
      </c>
    </row>
    <row r="49" spans="1:17" x14ac:dyDescent="0.35">
      <c r="A49">
        <v>661</v>
      </c>
      <c r="B49">
        <v>4</v>
      </c>
      <c r="C49">
        <v>17</v>
      </c>
      <c r="D49">
        <v>6</v>
      </c>
      <c r="E49" s="21">
        <v>46095.729166666664</v>
      </c>
      <c r="F49">
        <v>3</v>
      </c>
      <c r="G49">
        <v>27</v>
      </c>
      <c r="H49" t="s">
        <v>22</v>
      </c>
      <c r="I49" t="s">
        <v>18</v>
      </c>
      <c r="J49">
        <v>9</v>
      </c>
      <c r="K49">
        <v>2026</v>
      </c>
      <c r="L49">
        <v>3</v>
      </c>
      <c r="M49">
        <v>17</v>
      </c>
      <c r="N49" t="s">
        <v>23</v>
      </c>
      <c r="O49" t="s">
        <v>24</v>
      </c>
      <c r="P49" t="s">
        <v>56</v>
      </c>
      <c r="Q49" t="s">
        <v>21</v>
      </c>
    </row>
    <row r="50" spans="1:17" x14ac:dyDescent="0.35">
      <c r="A50">
        <v>659</v>
      </c>
      <c r="B50">
        <v>5</v>
      </c>
      <c r="C50">
        <v>16</v>
      </c>
      <c r="D50">
        <v>6</v>
      </c>
      <c r="E50" s="21">
        <v>46207.729166666664</v>
      </c>
      <c r="F50">
        <v>1</v>
      </c>
      <c r="G50">
        <v>9</v>
      </c>
      <c r="H50" t="s">
        <v>22</v>
      </c>
      <c r="I50" t="s">
        <v>27</v>
      </c>
      <c r="J50">
        <v>9</v>
      </c>
      <c r="K50">
        <v>2026</v>
      </c>
      <c r="L50">
        <v>7</v>
      </c>
      <c r="M50">
        <v>17</v>
      </c>
      <c r="N50" t="s">
        <v>23</v>
      </c>
      <c r="O50" t="s">
        <v>24</v>
      </c>
      <c r="P50" t="s">
        <v>51</v>
      </c>
      <c r="Q50" t="s">
        <v>21</v>
      </c>
    </row>
    <row r="51" spans="1:17" x14ac:dyDescent="0.35">
      <c r="A51">
        <v>639</v>
      </c>
      <c r="B51">
        <v>14</v>
      </c>
      <c r="C51">
        <v>18</v>
      </c>
      <c r="D51">
        <v>6</v>
      </c>
      <c r="E51" s="21">
        <v>46067.75</v>
      </c>
      <c r="F51">
        <v>2</v>
      </c>
      <c r="G51">
        <v>18</v>
      </c>
      <c r="H51" t="s">
        <v>22</v>
      </c>
      <c r="I51" t="s">
        <v>31</v>
      </c>
      <c r="J51">
        <v>9</v>
      </c>
      <c r="K51">
        <v>2026</v>
      </c>
      <c r="L51">
        <v>2</v>
      </c>
      <c r="M51">
        <v>18</v>
      </c>
      <c r="N51" t="s">
        <v>23</v>
      </c>
      <c r="O51" t="s">
        <v>24</v>
      </c>
      <c r="P51" t="s">
        <v>47</v>
      </c>
      <c r="Q51" t="s">
        <v>21</v>
      </c>
    </row>
    <row r="52" spans="1:17" x14ac:dyDescent="0.35">
      <c r="A52">
        <v>636</v>
      </c>
      <c r="B52">
        <v>16</v>
      </c>
      <c r="C52">
        <v>11</v>
      </c>
      <c r="D52">
        <v>6</v>
      </c>
      <c r="E52" s="21">
        <v>46041.979166666664</v>
      </c>
      <c r="F52">
        <v>6</v>
      </c>
      <c r="G52">
        <v>54</v>
      </c>
      <c r="H52" t="s">
        <v>22</v>
      </c>
      <c r="I52" t="s">
        <v>27</v>
      </c>
      <c r="J52">
        <v>9</v>
      </c>
      <c r="K52">
        <v>2026</v>
      </c>
      <c r="L52">
        <v>1</v>
      </c>
      <c r="M52">
        <v>23</v>
      </c>
      <c r="N52" t="s">
        <v>33</v>
      </c>
      <c r="O52" t="s">
        <v>13</v>
      </c>
      <c r="P52" t="s">
        <v>59</v>
      </c>
      <c r="Q52" t="s">
        <v>21</v>
      </c>
    </row>
    <row r="53" spans="1:17" x14ac:dyDescent="0.35">
      <c r="A53">
        <v>635</v>
      </c>
      <c r="B53">
        <v>10</v>
      </c>
      <c r="C53">
        <v>12</v>
      </c>
      <c r="D53">
        <v>6</v>
      </c>
      <c r="E53" s="21">
        <v>46108.791666666664</v>
      </c>
      <c r="F53">
        <v>2</v>
      </c>
      <c r="G53">
        <v>16</v>
      </c>
      <c r="H53" t="s">
        <v>22</v>
      </c>
      <c r="I53" t="s">
        <v>27</v>
      </c>
      <c r="J53">
        <v>8</v>
      </c>
      <c r="K53">
        <v>2026</v>
      </c>
      <c r="L53">
        <v>3</v>
      </c>
      <c r="M53">
        <v>19</v>
      </c>
      <c r="N53" t="s">
        <v>43</v>
      </c>
      <c r="O53" t="s">
        <v>13</v>
      </c>
      <c r="P53" t="s">
        <v>57</v>
      </c>
      <c r="Q53" t="s">
        <v>21</v>
      </c>
    </row>
    <row r="54" spans="1:17" x14ac:dyDescent="0.35">
      <c r="A54">
        <v>627</v>
      </c>
      <c r="B54">
        <v>14</v>
      </c>
      <c r="C54">
        <v>11</v>
      </c>
      <c r="D54">
        <v>6</v>
      </c>
      <c r="E54" s="21">
        <v>46347.729166666664</v>
      </c>
      <c r="F54">
        <v>1</v>
      </c>
      <c r="G54">
        <v>9</v>
      </c>
      <c r="H54" t="s">
        <v>22</v>
      </c>
      <c r="I54" t="s">
        <v>27</v>
      </c>
      <c r="J54">
        <v>9</v>
      </c>
      <c r="K54">
        <v>2026</v>
      </c>
      <c r="L54">
        <v>11</v>
      </c>
      <c r="M54">
        <v>17</v>
      </c>
      <c r="N54" t="s">
        <v>23</v>
      </c>
      <c r="O54" t="s">
        <v>24</v>
      </c>
      <c r="P54" t="s">
        <v>59</v>
      </c>
      <c r="Q54" t="s">
        <v>21</v>
      </c>
    </row>
    <row r="55" spans="1:17" x14ac:dyDescent="0.35">
      <c r="A55">
        <v>66</v>
      </c>
      <c r="B55">
        <v>4</v>
      </c>
      <c r="C55">
        <v>15</v>
      </c>
      <c r="D55">
        <v>6</v>
      </c>
      <c r="E55" s="21">
        <v>46059.875</v>
      </c>
      <c r="F55">
        <v>4</v>
      </c>
      <c r="G55">
        <v>36</v>
      </c>
      <c r="H55" t="s">
        <v>22</v>
      </c>
      <c r="I55" t="s">
        <v>18</v>
      </c>
      <c r="J55">
        <v>9</v>
      </c>
      <c r="K55">
        <v>2026</v>
      </c>
      <c r="L55">
        <v>2</v>
      </c>
      <c r="M55">
        <v>21</v>
      </c>
      <c r="N55" t="s">
        <v>43</v>
      </c>
      <c r="O55" t="s">
        <v>13</v>
      </c>
      <c r="P55" t="s">
        <v>38</v>
      </c>
      <c r="Q55" t="s">
        <v>21</v>
      </c>
    </row>
    <row r="56" spans="1:17" x14ac:dyDescent="0.35">
      <c r="A56">
        <v>610</v>
      </c>
      <c r="B56">
        <v>8</v>
      </c>
      <c r="C56">
        <v>13</v>
      </c>
      <c r="D56">
        <v>6</v>
      </c>
      <c r="E56" s="21">
        <v>46282.791666666664</v>
      </c>
      <c r="F56">
        <v>2</v>
      </c>
      <c r="G56">
        <v>16</v>
      </c>
      <c r="H56" t="s">
        <v>22</v>
      </c>
      <c r="I56" t="s">
        <v>18</v>
      </c>
      <c r="J56">
        <v>8</v>
      </c>
      <c r="K56">
        <v>2026</v>
      </c>
      <c r="L56">
        <v>9</v>
      </c>
      <c r="M56">
        <v>19</v>
      </c>
      <c r="N56" t="s">
        <v>41</v>
      </c>
      <c r="O56" t="s">
        <v>13</v>
      </c>
      <c r="P56" t="s">
        <v>49</v>
      </c>
      <c r="Q56" t="s">
        <v>21</v>
      </c>
    </row>
    <row r="57" spans="1:17" x14ac:dyDescent="0.35">
      <c r="A57">
        <v>609</v>
      </c>
      <c r="B57">
        <v>18</v>
      </c>
      <c r="C57">
        <v>6</v>
      </c>
      <c r="D57">
        <v>6</v>
      </c>
      <c r="E57" s="21">
        <v>46056.791666666664</v>
      </c>
      <c r="F57">
        <v>3</v>
      </c>
      <c r="G57">
        <v>24</v>
      </c>
      <c r="H57" t="s">
        <v>22</v>
      </c>
      <c r="I57" t="s">
        <v>27</v>
      </c>
      <c r="J57">
        <v>8</v>
      </c>
      <c r="K57">
        <v>2026</v>
      </c>
      <c r="L57">
        <v>2</v>
      </c>
      <c r="M57">
        <v>19</v>
      </c>
      <c r="N57" t="s">
        <v>37</v>
      </c>
      <c r="O57" t="s">
        <v>13</v>
      </c>
      <c r="P57" t="s">
        <v>52</v>
      </c>
      <c r="Q57" t="s">
        <v>21</v>
      </c>
    </row>
    <row r="58" spans="1:17" x14ac:dyDescent="0.35">
      <c r="A58">
        <v>602</v>
      </c>
      <c r="B58">
        <v>10</v>
      </c>
      <c r="C58">
        <v>12</v>
      </c>
      <c r="D58">
        <v>6</v>
      </c>
      <c r="E58" s="21">
        <v>46236.958333333336</v>
      </c>
      <c r="F58">
        <v>3</v>
      </c>
      <c r="G58">
        <v>30</v>
      </c>
      <c r="H58" t="s">
        <v>22</v>
      </c>
      <c r="I58" t="s">
        <v>18</v>
      </c>
      <c r="J58">
        <v>10</v>
      </c>
      <c r="K58">
        <v>2026</v>
      </c>
      <c r="L58">
        <v>8</v>
      </c>
      <c r="M58">
        <v>23</v>
      </c>
      <c r="N58" t="s">
        <v>28</v>
      </c>
      <c r="O58" t="s">
        <v>24</v>
      </c>
      <c r="P58" t="s">
        <v>57</v>
      </c>
      <c r="Q58" t="s">
        <v>21</v>
      </c>
    </row>
    <row r="59" spans="1:17" x14ac:dyDescent="0.35">
      <c r="A59">
        <v>596</v>
      </c>
      <c r="B59">
        <v>9</v>
      </c>
      <c r="C59">
        <v>16</v>
      </c>
      <c r="D59">
        <v>6</v>
      </c>
      <c r="E59" s="21">
        <v>46283.604166666664</v>
      </c>
      <c r="F59">
        <v>1</v>
      </c>
      <c r="G59">
        <v>8</v>
      </c>
      <c r="H59" t="s">
        <v>22</v>
      </c>
      <c r="I59" t="s">
        <v>27</v>
      </c>
      <c r="J59">
        <v>8</v>
      </c>
      <c r="K59">
        <v>2026</v>
      </c>
      <c r="L59">
        <v>9</v>
      </c>
      <c r="M59">
        <v>14</v>
      </c>
      <c r="N59" t="s">
        <v>43</v>
      </c>
      <c r="O59" t="s">
        <v>13</v>
      </c>
      <c r="P59" t="s">
        <v>51</v>
      </c>
      <c r="Q59" t="s">
        <v>21</v>
      </c>
    </row>
    <row r="60" spans="1:17" x14ac:dyDescent="0.35">
      <c r="A60">
        <v>588</v>
      </c>
      <c r="B60">
        <v>15</v>
      </c>
      <c r="C60">
        <v>17</v>
      </c>
      <c r="D60">
        <v>6</v>
      </c>
      <c r="E60" s="21">
        <v>46119.9375</v>
      </c>
      <c r="F60">
        <v>4</v>
      </c>
      <c r="G60">
        <v>36</v>
      </c>
      <c r="H60" t="s">
        <v>22</v>
      </c>
      <c r="I60" t="s">
        <v>18</v>
      </c>
      <c r="J60">
        <v>9</v>
      </c>
      <c r="K60">
        <v>2026</v>
      </c>
      <c r="L60">
        <v>4</v>
      </c>
      <c r="M60">
        <v>22</v>
      </c>
      <c r="N60" t="s">
        <v>37</v>
      </c>
      <c r="O60" t="s">
        <v>13</v>
      </c>
      <c r="P60" t="s">
        <v>56</v>
      </c>
      <c r="Q60" t="s">
        <v>21</v>
      </c>
    </row>
    <row r="61" spans="1:17" x14ac:dyDescent="0.35">
      <c r="A61">
        <v>578</v>
      </c>
      <c r="B61">
        <v>17</v>
      </c>
      <c r="C61">
        <v>4</v>
      </c>
      <c r="D61">
        <v>6</v>
      </c>
      <c r="E61" s="21">
        <v>46053.895833333336</v>
      </c>
      <c r="F61">
        <v>2</v>
      </c>
      <c r="G61">
        <v>20</v>
      </c>
      <c r="H61" t="s">
        <v>22</v>
      </c>
      <c r="I61" t="s">
        <v>31</v>
      </c>
      <c r="J61">
        <v>10</v>
      </c>
      <c r="K61">
        <v>2026</v>
      </c>
      <c r="L61">
        <v>1</v>
      </c>
      <c r="M61">
        <v>21</v>
      </c>
      <c r="N61" t="s">
        <v>23</v>
      </c>
      <c r="O61" t="s">
        <v>24</v>
      </c>
      <c r="P61" t="s">
        <v>55</v>
      </c>
      <c r="Q61" t="s">
        <v>21</v>
      </c>
    </row>
    <row r="62" spans="1:17" x14ac:dyDescent="0.35">
      <c r="A62">
        <v>558</v>
      </c>
      <c r="B62">
        <v>13</v>
      </c>
      <c r="C62">
        <v>10</v>
      </c>
      <c r="D62">
        <v>6</v>
      </c>
      <c r="E62" s="21">
        <v>46052.604166666664</v>
      </c>
      <c r="F62">
        <v>1</v>
      </c>
      <c r="G62">
        <v>8</v>
      </c>
      <c r="H62" t="s">
        <v>22</v>
      </c>
      <c r="I62" t="s">
        <v>18</v>
      </c>
      <c r="J62">
        <v>8</v>
      </c>
      <c r="K62">
        <v>2026</v>
      </c>
      <c r="L62">
        <v>1</v>
      </c>
      <c r="M62">
        <v>14</v>
      </c>
      <c r="N62" t="s">
        <v>43</v>
      </c>
      <c r="O62" t="s">
        <v>13</v>
      </c>
      <c r="P62" t="s">
        <v>25</v>
      </c>
      <c r="Q62" t="s">
        <v>21</v>
      </c>
    </row>
    <row r="63" spans="1:17" x14ac:dyDescent="0.35">
      <c r="A63">
        <v>543</v>
      </c>
      <c r="B63">
        <v>11</v>
      </c>
      <c r="C63">
        <v>15</v>
      </c>
      <c r="D63">
        <v>6</v>
      </c>
      <c r="E63" s="21">
        <v>46252.958333333336</v>
      </c>
      <c r="F63">
        <v>1</v>
      </c>
      <c r="G63">
        <v>9</v>
      </c>
      <c r="H63" t="s">
        <v>22</v>
      </c>
      <c r="I63" t="s">
        <v>18</v>
      </c>
      <c r="J63">
        <v>9</v>
      </c>
      <c r="K63">
        <v>2026</v>
      </c>
      <c r="L63">
        <v>8</v>
      </c>
      <c r="M63">
        <v>23</v>
      </c>
      <c r="N63" t="s">
        <v>37</v>
      </c>
      <c r="O63" t="s">
        <v>13</v>
      </c>
      <c r="P63" t="s">
        <v>38</v>
      </c>
      <c r="Q63" t="s">
        <v>21</v>
      </c>
    </row>
    <row r="64" spans="1:17" x14ac:dyDescent="0.35">
      <c r="A64">
        <v>523</v>
      </c>
      <c r="B64">
        <v>16</v>
      </c>
      <c r="C64">
        <v>16</v>
      </c>
      <c r="D64">
        <v>6</v>
      </c>
      <c r="E64" s="21">
        <v>46141.583333333336</v>
      </c>
      <c r="F64">
        <v>5</v>
      </c>
      <c r="G64">
        <v>40</v>
      </c>
      <c r="H64" t="s">
        <v>22</v>
      </c>
      <c r="I64" t="s">
        <v>27</v>
      </c>
      <c r="J64">
        <v>8</v>
      </c>
      <c r="K64">
        <v>2026</v>
      </c>
      <c r="L64">
        <v>4</v>
      </c>
      <c r="M64">
        <v>14</v>
      </c>
      <c r="N64" t="s">
        <v>19</v>
      </c>
      <c r="O64" t="s">
        <v>13</v>
      </c>
      <c r="P64" t="s">
        <v>51</v>
      </c>
      <c r="Q64" t="s">
        <v>21</v>
      </c>
    </row>
    <row r="65" spans="1:17" x14ac:dyDescent="0.35">
      <c r="A65">
        <v>499</v>
      </c>
      <c r="B65">
        <v>20</v>
      </c>
      <c r="C65">
        <v>8</v>
      </c>
      <c r="D65">
        <v>6</v>
      </c>
      <c r="E65" s="21">
        <v>46107.583333333336</v>
      </c>
      <c r="F65">
        <v>4</v>
      </c>
      <c r="G65">
        <v>32</v>
      </c>
      <c r="H65" t="s">
        <v>22</v>
      </c>
      <c r="I65" t="s">
        <v>27</v>
      </c>
      <c r="J65">
        <v>8</v>
      </c>
      <c r="K65">
        <v>2026</v>
      </c>
      <c r="L65">
        <v>3</v>
      </c>
      <c r="M65">
        <v>14</v>
      </c>
      <c r="N65" t="s">
        <v>41</v>
      </c>
      <c r="O65" t="s">
        <v>13</v>
      </c>
      <c r="P65" t="s">
        <v>42</v>
      </c>
      <c r="Q65" t="s">
        <v>21</v>
      </c>
    </row>
    <row r="66" spans="1:17" x14ac:dyDescent="0.35">
      <c r="A66">
        <v>480</v>
      </c>
      <c r="B66">
        <v>17</v>
      </c>
      <c r="C66">
        <v>18</v>
      </c>
      <c r="D66">
        <v>6</v>
      </c>
      <c r="E66" s="21">
        <v>46116.8125</v>
      </c>
      <c r="F66">
        <v>5</v>
      </c>
      <c r="G66">
        <v>45</v>
      </c>
      <c r="H66" t="s">
        <v>22</v>
      </c>
      <c r="I66" t="s">
        <v>18</v>
      </c>
      <c r="J66">
        <v>9</v>
      </c>
      <c r="K66">
        <v>2026</v>
      </c>
      <c r="L66">
        <v>4</v>
      </c>
      <c r="M66">
        <v>19</v>
      </c>
      <c r="N66" t="s">
        <v>23</v>
      </c>
      <c r="O66" t="s">
        <v>24</v>
      </c>
      <c r="P66" t="s">
        <v>47</v>
      </c>
      <c r="Q66" t="s">
        <v>21</v>
      </c>
    </row>
    <row r="67" spans="1:17" x14ac:dyDescent="0.35">
      <c r="A67">
        <v>478</v>
      </c>
      <c r="B67">
        <v>1</v>
      </c>
      <c r="C67">
        <v>2</v>
      </c>
      <c r="D67">
        <v>6</v>
      </c>
      <c r="E67" s="21">
        <v>46214.708333333336</v>
      </c>
      <c r="F67">
        <v>2</v>
      </c>
      <c r="G67">
        <v>18</v>
      </c>
      <c r="H67" t="s">
        <v>22</v>
      </c>
      <c r="I67" t="s">
        <v>27</v>
      </c>
      <c r="J67">
        <v>9</v>
      </c>
      <c r="K67">
        <v>2026</v>
      </c>
      <c r="L67">
        <v>7</v>
      </c>
      <c r="M67">
        <v>17</v>
      </c>
      <c r="N67" t="s">
        <v>23</v>
      </c>
      <c r="O67" t="s">
        <v>24</v>
      </c>
      <c r="P67" t="s">
        <v>44</v>
      </c>
      <c r="Q67" t="s">
        <v>21</v>
      </c>
    </row>
    <row r="68" spans="1:17" x14ac:dyDescent="0.35">
      <c r="A68">
        <v>472</v>
      </c>
      <c r="B68">
        <v>2</v>
      </c>
      <c r="C68">
        <v>9</v>
      </c>
      <c r="D68">
        <v>6</v>
      </c>
      <c r="E68" s="21">
        <v>46209.875</v>
      </c>
      <c r="F68">
        <v>1</v>
      </c>
      <c r="G68">
        <v>9</v>
      </c>
      <c r="H68" t="s">
        <v>17</v>
      </c>
      <c r="I68" t="s">
        <v>18</v>
      </c>
      <c r="J68">
        <v>9</v>
      </c>
      <c r="K68">
        <v>2026</v>
      </c>
      <c r="L68">
        <v>7</v>
      </c>
      <c r="M68">
        <v>21</v>
      </c>
      <c r="N68" t="s">
        <v>33</v>
      </c>
      <c r="O68" t="s">
        <v>13</v>
      </c>
      <c r="P68" t="s">
        <v>48</v>
      </c>
      <c r="Q68" t="s">
        <v>21</v>
      </c>
    </row>
    <row r="69" spans="1:17" x14ac:dyDescent="0.35">
      <c r="A69">
        <v>470</v>
      </c>
      <c r="B69">
        <v>18</v>
      </c>
      <c r="C69">
        <v>1</v>
      </c>
      <c r="D69">
        <v>6</v>
      </c>
      <c r="E69" s="21">
        <v>46041.770833333336</v>
      </c>
      <c r="F69">
        <v>6</v>
      </c>
      <c r="G69">
        <v>48</v>
      </c>
      <c r="H69" t="s">
        <v>22</v>
      </c>
      <c r="I69" t="s">
        <v>27</v>
      </c>
      <c r="J69">
        <v>8</v>
      </c>
      <c r="K69">
        <v>2026</v>
      </c>
      <c r="L69">
        <v>1</v>
      </c>
      <c r="M69">
        <v>18</v>
      </c>
      <c r="N69" t="s">
        <v>33</v>
      </c>
      <c r="O69" t="s">
        <v>13</v>
      </c>
      <c r="P69" t="s">
        <v>39</v>
      </c>
      <c r="Q69" t="s">
        <v>21</v>
      </c>
    </row>
    <row r="70" spans="1:17" x14ac:dyDescent="0.35">
      <c r="A70">
        <v>458</v>
      </c>
      <c r="B70">
        <v>5</v>
      </c>
      <c r="C70">
        <v>17</v>
      </c>
      <c r="D70">
        <v>6</v>
      </c>
      <c r="E70" s="21">
        <v>46189.708333333336</v>
      </c>
      <c r="F70">
        <v>2</v>
      </c>
      <c r="G70">
        <v>16</v>
      </c>
      <c r="H70" t="s">
        <v>22</v>
      </c>
      <c r="I70" t="s">
        <v>27</v>
      </c>
      <c r="J70">
        <v>8</v>
      </c>
      <c r="K70">
        <v>2026</v>
      </c>
      <c r="L70">
        <v>6</v>
      </c>
      <c r="M70">
        <v>17</v>
      </c>
      <c r="N70" t="s">
        <v>37</v>
      </c>
      <c r="O70" t="s">
        <v>13</v>
      </c>
      <c r="P70" t="s">
        <v>56</v>
      </c>
      <c r="Q70" t="s">
        <v>21</v>
      </c>
    </row>
    <row r="71" spans="1:17" x14ac:dyDescent="0.35">
      <c r="A71">
        <v>452</v>
      </c>
      <c r="B71">
        <v>10</v>
      </c>
      <c r="C71">
        <v>14</v>
      </c>
      <c r="D71">
        <v>6</v>
      </c>
      <c r="E71" s="21">
        <v>46232.854166666664</v>
      </c>
      <c r="F71">
        <v>6</v>
      </c>
      <c r="G71">
        <v>48</v>
      </c>
      <c r="H71" t="s">
        <v>22</v>
      </c>
      <c r="I71" t="s">
        <v>27</v>
      </c>
      <c r="J71">
        <v>8</v>
      </c>
      <c r="K71">
        <v>2026</v>
      </c>
      <c r="L71">
        <v>7</v>
      </c>
      <c r="M71">
        <v>20</v>
      </c>
      <c r="N71" t="s">
        <v>19</v>
      </c>
      <c r="O71" t="s">
        <v>13</v>
      </c>
      <c r="P71" t="s">
        <v>29</v>
      </c>
      <c r="Q71" t="s">
        <v>21</v>
      </c>
    </row>
    <row r="72" spans="1:17" x14ac:dyDescent="0.35">
      <c r="A72">
        <v>446</v>
      </c>
      <c r="B72">
        <v>16</v>
      </c>
      <c r="C72">
        <v>1</v>
      </c>
      <c r="D72">
        <v>6</v>
      </c>
      <c r="E72" s="21">
        <v>46121.916666666664</v>
      </c>
      <c r="F72">
        <v>2</v>
      </c>
      <c r="G72">
        <v>18</v>
      </c>
      <c r="H72" t="s">
        <v>22</v>
      </c>
      <c r="I72" t="s">
        <v>27</v>
      </c>
      <c r="J72">
        <v>9</v>
      </c>
      <c r="K72">
        <v>2026</v>
      </c>
      <c r="L72">
        <v>4</v>
      </c>
      <c r="M72">
        <v>22</v>
      </c>
      <c r="N72" t="s">
        <v>41</v>
      </c>
      <c r="O72" t="s">
        <v>13</v>
      </c>
      <c r="P72" t="s">
        <v>39</v>
      </c>
      <c r="Q72" t="s">
        <v>21</v>
      </c>
    </row>
    <row r="73" spans="1:17" x14ac:dyDescent="0.35">
      <c r="A73">
        <v>442</v>
      </c>
      <c r="B73">
        <v>19</v>
      </c>
      <c r="C73">
        <v>6</v>
      </c>
      <c r="D73">
        <v>6</v>
      </c>
      <c r="E73" s="21">
        <v>46035.666666666664</v>
      </c>
      <c r="F73">
        <v>2</v>
      </c>
      <c r="G73">
        <v>16</v>
      </c>
      <c r="H73" t="s">
        <v>22</v>
      </c>
      <c r="I73" t="s">
        <v>31</v>
      </c>
      <c r="J73">
        <v>8</v>
      </c>
      <c r="K73">
        <v>2026</v>
      </c>
      <c r="L73">
        <v>1</v>
      </c>
      <c r="M73">
        <v>16</v>
      </c>
      <c r="N73" t="s">
        <v>37</v>
      </c>
      <c r="O73" t="s">
        <v>13</v>
      </c>
      <c r="P73" t="s">
        <v>52</v>
      </c>
      <c r="Q73" t="s">
        <v>21</v>
      </c>
    </row>
    <row r="74" spans="1:17" x14ac:dyDescent="0.35">
      <c r="A74">
        <v>432</v>
      </c>
      <c r="B74">
        <v>8</v>
      </c>
      <c r="C74">
        <v>7</v>
      </c>
      <c r="D74">
        <v>6</v>
      </c>
      <c r="E74" s="21">
        <v>46313.9375</v>
      </c>
      <c r="F74">
        <v>3</v>
      </c>
      <c r="G74">
        <v>30</v>
      </c>
      <c r="H74" t="s">
        <v>22</v>
      </c>
      <c r="I74" t="s">
        <v>31</v>
      </c>
      <c r="J74">
        <v>10</v>
      </c>
      <c r="K74">
        <v>2026</v>
      </c>
      <c r="L74">
        <v>10</v>
      </c>
      <c r="M74">
        <v>22</v>
      </c>
      <c r="N74" t="s">
        <v>28</v>
      </c>
      <c r="O74" t="s">
        <v>24</v>
      </c>
      <c r="P74" t="s">
        <v>34</v>
      </c>
      <c r="Q74" t="s">
        <v>21</v>
      </c>
    </row>
    <row r="75" spans="1:17" x14ac:dyDescent="0.35">
      <c r="A75">
        <v>429</v>
      </c>
      <c r="B75">
        <v>19</v>
      </c>
      <c r="C75">
        <v>5</v>
      </c>
      <c r="D75">
        <v>6</v>
      </c>
      <c r="E75" s="21">
        <v>46332.604166666664</v>
      </c>
      <c r="F75">
        <v>5</v>
      </c>
      <c r="G75">
        <v>40</v>
      </c>
      <c r="H75" t="s">
        <v>22</v>
      </c>
      <c r="I75" t="s">
        <v>27</v>
      </c>
      <c r="J75">
        <v>8</v>
      </c>
      <c r="K75">
        <v>2026</v>
      </c>
      <c r="L75">
        <v>11</v>
      </c>
      <c r="M75">
        <v>14</v>
      </c>
      <c r="N75" t="s">
        <v>43</v>
      </c>
      <c r="O75" t="s">
        <v>13</v>
      </c>
      <c r="P75" t="s">
        <v>53</v>
      </c>
      <c r="Q75" t="s">
        <v>21</v>
      </c>
    </row>
    <row r="76" spans="1:17" x14ac:dyDescent="0.35">
      <c r="A76">
        <v>416</v>
      </c>
      <c r="B76">
        <v>4</v>
      </c>
      <c r="C76">
        <v>19</v>
      </c>
      <c r="D76">
        <v>6</v>
      </c>
      <c r="E76" s="21">
        <v>46270.791666666664</v>
      </c>
      <c r="F76">
        <v>1</v>
      </c>
      <c r="G76">
        <v>9</v>
      </c>
      <c r="H76" t="s">
        <v>22</v>
      </c>
      <c r="I76" t="s">
        <v>18</v>
      </c>
      <c r="J76">
        <v>9</v>
      </c>
      <c r="K76">
        <v>2026</v>
      </c>
      <c r="L76">
        <v>9</v>
      </c>
      <c r="M76">
        <v>19</v>
      </c>
      <c r="N76" t="s">
        <v>23</v>
      </c>
      <c r="O76" t="s">
        <v>24</v>
      </c>
      <c r="P76" t="s">
        <v>58</v>
      </c>
      <c r="Q76" t="s">
        <v>21</v>
      </c>
    </row>
    <row r="77" spans="1:17" x14ac:dyDescent="0.35">
      <c r="A77">
        <v>413</v>
      </c>
      <c r="B77">
        <v>17</v>
      </c>
      <c r="C77">
        <v>6</v>
      </c>
      <c r="D77">
        <v>6</v>
      </c>
      <c r="E77" s="21">
        <v>46194.666666666664</v>
      </c>
      <c r="F77">
        <v>4</v>
      </c>
      <c r="G77">
        <v>36</v>
      </c>
      <c r="H77" t="s">
        <v>22</v>
      </c>
      <c r="I77" t="s">
        <v>18</v>
      </c>
      <c r="J77">
        <v>9</v>
      </c>
      <c r="K77">
        <v>2026</v>
      </c>
      <c r="L77">
        <v>6</v>
      </c>
      <c r="M77">
        <v>16</v>
      </c>
      <c r="N77" t="s">
        <v>28</v>
      </c>
      <c r="O77" t="s">
        <v>24</v>
      </c>
      <c r="P77" t="s">
        <v>52</v>
      </c>
      <c r="Q77" t="s">
        <v>21</v>
      </c>
    </row>
    <row r="78" spans="1:17" x14ac:dyDescent="0.35">
      <c r="A78">
        <v>394</v>
      </c>
      <c r="B78">
        <v>16</v>
      </c>
      <c r="C78">
        <v>13</v>
      </c>
      <c r="D78">
        <v>6</v>
      </c>
      <c r="E78" s="21">
        <v>46222.875</v>
      </c>
      <c r="F78">
        <v>1</v>
      </c>
      <c r="G78">
        <v>10</v>
      </c>
      <c r="H78" t="s">
        <v>22</v>
      </c>
      <c r="I78" t="s">
        <v>27</v>
      </c>
      <c r="J78">
        <v>10</v>
      </c>
      <c r="K78">
        <v>2026</v>
      </c>
      <c r="L78">
        <v>7</v>
      </c>
      <c r="M78">
        <v>21</v>
      </c>
      <c r="N78" t="s">
        <v>28</v>
      </c>
      <c r="O78" t="s">
        <v>24</v>
      </c>
      <c r="P78" t="s">
        <v>49</v>
      </c>
      <c r="Q78" t="s">
        <v>21</v>
      </c>
    </row>
    <row r="79" spans="1:17" x14ac:dyDescent="0.35">
      <c r="A79">
        <v>392</v>
      </c>
      <c r="B79">
        <v>3</v>
      </c>
      <c r="C79">
        <v>5</v>
      </c>
      <c r="D79">
        <v>6</v>
      </c>
      <c r="E79" s="21">
        <v>46193.708333333336</v>
      </c>
      <c r="F79">
        <v>5</v>
      </c>
      <c r="G79">
        <v>45</v>
      </c>
      <c r="H79" t="s">
        <v>22</v>
      </c>
      <c r="I79" t="s">
        <v>27</v>
      </c>
      <c r="J79">
        <v>9</v>
      </c>
      <c r="K79">
        <v>2026</v>
      </c>
      <c r="L79">
        <v>6</v>
      </c>
      <c r="M79">
        <v>17</v>
      </c>
      <c r="N79" t="s">
        <v>23</v>
      </c>
      <c r="O79" t="s">
        <v>24</v>
      </c>
      <c r="P79" t="s">
        <v>53</v>
      </c>
      <c r="Q79" t="s">
        <v>21</v>
      </c>
    </row>
    <row r="80" spans="1:17" x14ac:dyDescent="0.35">
      <c r="A80">
        <v>390</v>
      </c>
      <c r="B80">
        <v>19</v>
      </c>
      <c r="C80">
        <v>20</v>
      </c>
      <c r="D80">
        <v>6</v>
      </c>
      <c r="E80" s="21">
        <v>46139.625</v>
      </c>
      <c r="F80">
        <v>1</v>
      </c>
      <c r="G80">
        <v>8</v>
      </c>
      <c r="H80" t="s">
        <v>22</v>
      </c>
      <c r="I80" t="s">
        <v>27</v>
      </c>
      <c r="J80">
        <v>8</v>
      </c>
      <c r="K80">
        <v>2026</v>
      </c>
      <c r="L80">
        <v>4</v>
      </c>
      <c r="M80">
        <v>15</v>
      </c>
      <c r="N80" t="s">
        <v>33</v>
      </c>
      <c r="O80" t="s">
        <v>13</v>
      </c>
      <c r="P80" t="s">
        <v>36</v>
      </c>
      <c r="Q80" t="s">
        <v>21</v>
      </c>
    </row>
    <row r="81" spans="1:17" x14ac:dyDescent="0.35">
      <c r="A81">
        <v>374</v>
      </c>
      <c r="B81">
        <v>13</v>
      </c>
      <c r="C81">
        <v>12</v>
      </c>
      <c r="D81">
        <v>6</v>
      </c>
      <c r="E81" s="21">
        <v>46106.979166666664</v>
      </c>
      <c r="F81">
        <v>3</v>
      </c>
      <c r="G81">
        <v>27</v>
      </c>
      <c r="H81" t="s">
        <v>22</v>
      </c>
      <c r="I81" t="s">
        <v>31</v>
      </c>
      <c r="J81">
        <v>9</v>
      </c>
      <c r="K81">
        <v>2026</v>
      </c>
      <c r="L81">
        <v>3</v>
      </c>
      <c r="M81">
        <v>23</v>
      </c>
      <c r="N81" t="s">
        <v>19</v>
      </c>
      <c r="O81" t="s">
        <v>13</v>
      </c>
      <c r="P81" t="s">
        <v>57</v>
      </c>
      <c r="Q81" t="s">
        <v>21</v>
      </c>
    </row>
    <row r="82" spans="1:17" x14ac:dyDescent="0.35">
      <c r="A82">
        <v>359</v>
      </c>
      <c r="B82">
        <v>13</v>
      </c>
      <c r="C82">
        <v>6</v>
      </c>
      <c r="D82">
        <v>6</v>
      </c>
      <c r="E82" s="21">
        <v>46205.916666666664</v>
      </c>
      <c r="F82">
        <v>3</v>
      </c>
      <c r="G82">
        <v>27</v>
      </c>
      <c r="H82" t="s">
        <v>22</v>
      </c>
      <c r="I82" t="s">
        <v>18</v>
      </c>
      <c r="J82">
        <v>9</v>
      </c>
      <c r="K82">
        <v>2026</v>
      </c>
      <c r="L82">
        <v>7</v>
      </c>
      <c r="M82">
        <v>22</v>
      </c>
      <c r="N82" t="s">
        <v>41</v>
      </c>
      <c r="O82" t="s">
        <v>13</v>
      </c>
      <c r="P82" t="s">
        <v>52</v>
      </c>
      <c r="Q82" t="s">
        <v>21</v>
      </c>
    </row>
    <row r="83" spans="1:17" x14ac:dyDescent="0.35">
      <c r="A83">
        <v>350</v>
      </c>
      <c r="B83">
        <v>3</v>
      </c>
      <c r="C83">
        <v>12</v>
      </c>
      <c r="D83">
        <v>6</v>
      </c>
      <c r="E83" s="21">
        <v>46354.75</v>
      </c>
      <c r="F83">
        <v>6</v>
      </c>
      <c r="G83">
        <v>54</v>
      </c>
      <c r="H83" t="s">
        <v>22</v>
      </c>
      <c r="I83" t="s">
        <v>31</v>
      </c>
      <c r="J83">
        <v>9</v>
      </c>
      <c r="K83">
        <v>2026</v>
      </c>
      <c r="L83">
        <v>11</v>
      </c>
      <c r="M83">
        <v>18</v>
      </c>
      <c r="N83" t="s">
        <v>23</v>
      </c>
      <c r="O83" t="s">
        <v>24</v>
      </c>
      <c r="P83" t="s">
        <v>57</v>
      </c>
      <c r="Q83" t="s">
        <v>21</v>
      </c>
    </row>
    <row r="84" spans="1:17" x14ac:dyDescent="0.35">
      <c r="A84">
        <v>346</v>
      </c>
      <c r="B84">
        <v>7</v>
      </c>
      <c r="C84">
        <v>14</v>
      </c>
      <c r="D84">
        <v>6</v>
      </c>
      <c r="E84" s="21">
        <v>46096.916666666664</v>
      </c>
      <c r="F84">
        <v>2</v>
      </c>
      <c r="G84">
        <v>20</v>
      </c>
      <c r="H84" t="s">
        <v>22</v>
      </c>
      <c r="I84" t="s">
        <v>18</v>
      </c>
      <c r="J84">
        <v>10</v>
      </c>
      <c r="K84">
        <v>2026</v>
      </c>
      <c r="L84">
        <v>3</v>
      </c>
      <c r="M84">
        <v>22</v>
      </c>
      <c r="N84" t="s">
        <v>28</v>
      </c>
      <c r="O84" t="s">
        <v>24</v>
      </c>
      <c r="P84" t="s">
        <v>29</v>
      </c>
      <c r="Q84" t="s">
        <v>21</v>
      </c>
    </row>
    <row r="85" spans="1:17" x14ac:dyDescent="0.35">
      <c r="A85">
        <v>344</v>
      </c>
      <c r="B85">
        <v>3</v>
      </c>
      <c r="C85">
        <v>11</v>
      </c>
      <c r="D85">
        <v>6</v>
      </c>
      <c r="E85" s="21">
        <v>46102.9375</v>
      </c>
      <c r="F85">
        <v>3</v>
      </c>
      <c r="G85">
        <v>30</v>
      </c>
      <c r="H85" t="s">
        <v>22</v>
      </c>
      <c r="I85" t="s">
        <v>27</v>
      </c>
      <c r="J85">
        <v>10</v>
      </c>
      <c r="K85">
        <v>2026</v>
      </c>
      <c r="L85">
        <v>3</v>
      </c>
      <c r="M85">
        <v>22</v>
      </c>
      <c r="N85" t="s">
        <v>23</v>
      </c>
      <c r="O85" t="s">
        <v>24</v>
      </c>
      <c r="P85" t="s">
        <v>59</v>
      </c>
      <c r="Q85" t="s">
        <v>21</v>
      </c>
    </row>
    <row r="86" spans="1:17" x14ac:dyDescent="0.35">
      <c r="A86">
        <v>337</v>
      </c>
      <c r="B86">
        <v>19</v>
      </c>
      <c r="C86">
        <v>8</v>
      </c>
      <c r="D86">
        <v>6</v>
      </c>
      <c r="E86" s="21">
        <v>46073.791666666664</v>
      </c>
      <c r="F86">
        <v>6</v>
      </c>
      <c r="G86">
        <v>48</v>
      </c>
      <c r="H86" t="s">
        <v>22</v>
      </c>
      <c r="I86" t="s">
        <v>18</v>
      </c>
      <c r="J86">
        <v>8</v>
      </c>
      <c r="K86">
        <v>2026</v>
      </c>
      <c r="L86">
        <v>2</v>
      </c>
      <c r="M86">
        <v>19</v>
      </c>
      <c r="N86" t="s">
        <v>43</v>
      </c>
      <c r="O86" t="s">
        <v>13</v>
      </c>
      <c r="P86" t="s">
        <v>42</v>
      </c>
      <c r="Q86" t="s">
        <v>21</v>
      </c>
    </row>
    <row r="87" spans="1:17" x14ac:dyDescent="0.35">
      <c r="A87">
        <v>323</v>
      </c>
      <c r="B87">
        <v>2</v>
      </c>
      <c r="C87">
        <v>10</v>
      </c>
      <c r="D87">
        <v>6</v>
      </c>
      <c r="E87" s="21">
        <v>46075.833333333336</v>
      </c>
      <c r="F87">
        <v>3</v>
      </c>
      <c r="G87">
        <v>27</v>
      </c>
      <c r="H87" t="s">
        <v>22</v>
      </c>
      <c r="I87" t="s">
        <v>18</v>
      </c>
      <c r="J87">
        <v>9</v>
      </c>
      <c r="K87">
        <v>2026</v>
      </c>
      <c r="L87">
        <v>2</v>
      </c>
      <c r="M87">
        <v>20</v>
      </c>
      <c r="N87" t="s">
        <v>28</v>
      </c>
      <c r="O87" t="s">
        <v>24</v>
      </c>
      <c r="P87" t="s">
        <v>25</v>
      </c>
      <c r="Q87" t="s">
        <v>21</v>
      </c>
    </row>
    <row r="88" spans="1:17" x14ac:dyDescent="0.35">
      <c r="A88">
        <v>316</v>
      </c>
      <c r="B88">
        <v>18</v>
      </c>
      <c r="C88">
        <v>14</v>
      </c>
      <c r="D88">
        <v>6</v>
      </c>
      <c r="E88" s="21">
        <v>46269.875</v>
      </c>
      <c r="F88">
        <v>3</v>
      </c>
      <c r="G88">
        <v>27</v>
      </c>
      <c r="H88" t="s">
        <v>22</v>
      </c>
      <c r="I88" t="s">
        <v>27</v>
      </c>
      <c r="J88">
        <v>9</v>
      </c>
      <c r="K88">
        <v>2026</v>
      </c>
      <c r="L88">
        <v>9</v>
      </c>
      <c r="M88">
        <v>21</v>
      </c>
      <c r="N88" t="s">
        <v>43</v>
      </c>
      <c r="O88" t="s">
        <v>13</v>
      </c>
      <c r="P88" t="s">
        <v>29</v>
      </c>
      <c r="Q88" t="s">
        <v>21</v>
      </c>
    </row>
    <row r="89" spans="1:17" x14ac:dyDescent="0.35">
      <c r="A89">
        <v>312</v>
      </c>
      <c r="B89">
        <v>11</v>
      </c>
      <c r="C89">
        <v>6</v>
      </c>
      <c r="D89">
        <v>6</v>
      </c>
      <c r="E89" s="21">
        <v>46335.75</v>
      </c>
      <c r="F89">
        <v>1</v>
      </c>
      <c r="G89">
        <v>8</v>
      </c>
      <c r="H89" t="s">
        <v>22</v>
      </c>
      <c r="I89" t="s">
        <v>27</v>
      </c>
      <c r="J89">
        <v>8</v>
      </c>
      <c r="K89">
        <v>2026</v>
      </c>
      <c r="L89">
        <v>11</v>
      </c>
      <c r="M89">
        <v>18</v>
      </c>
      <c r="N89" t="s">
        <v>33</v>
      </c>
      <c r="O89" t="s">
        <v>13</v>
      </c>
      <c r="P89" t="s">
        <v>52</v>
      </c>
      <c r="Q89" t="s">
        <v>21</v>
      </c>
    </row>
    <row r="90" spans="1:17" x14ac:dyDescent="0.35">
      <c r="A90">
        <v>307</v>
      </c>
      <c r="B90">
        <v>5</v>
      </c>
      <c r="C90">
        <v>6</v>
      </c>
      <c r="D90">
        <v>6</v>
      </c>
      <c r="E90" s="21">
        <v>46075.604166666664</v>
      </c>
      <c r="F90">
        <v>2</v>
      </c>
      <c r="G90">
        <v>18</v>
      </c>
      <c r="H90" t="s">
        <v>22</v>
      </c>
      <c r="I90" t="s">
        <v>27</v>
      </c>
      <c r="J90">
        <v>9</v>
      </c>
      <c r="K90">
        <v>2026</v>
      </c>
      <c r="L90">
        <v>2</v>
      </c>
      <c r="M90">
        <v>14</v>
      </c>
      <c r="N90" t="s">
        <v>28</v>
      </c>
      <c r="O90" t="s">
        <v>24</v>
      </c>
      <c r="P90" t="s">
        <v>52</v>
      </c>
      <c r="Q90" t="s">
        <v>21</v>
      </c>
    </row>
    <row r="91" spans="1:17" x14ac:dyDescent="0.35">
      <c r="A91">
        <v>290</v>
      </c>
      <c r="B91">
        <v>18</v>
      </c>
      <c r="C91">
        <v>6</v>
      </c>
      <c r="D91">
        <v>6</v>
      </c>
      <c r="E91" s="21">
        <v>46193.729166666664</v>
      </c>
      <c r="F91">
        <v>3</v>
      </c>
      <c r="G91">
        <v>27</v>
      </c>
      <c r="H91" t="s">
        <v>22</v>
      </c>
      <c r="I91" t="s">
        <v>27</v>
      </c>
      <c r="J91">
        <v>9</v>
      </c>
      <c r="K91">
        <v>2026</v>
      </c>
      <c r="L91">
        <v>6</v>
      </c>
      <c r="M91">
        <v>17</v>
      </c>
      <c r="N91" t="s">
        <v>23</v>
      </c>
      <c r="O91" t="s">
        <v>24</v>
      </c>
      <c r="P91" t="s">
        <v>52</v>
      </c>
      <c r="Q91" t="s">
        <v>21</v>
      </c>
    </row>
    <row r="92" spans="1:17" x14ac:dyDescent="0.35">
      <c r="A92">
        <v>286</v>
      </c>
      <c r="B92">
        <v>1</v>
      </c>
      <c r="C92">
        <v>20</v>
      </c>
      <c r="D92">
        <v>6</v>
      </c>
      <c r="E92" s="21">
        <v>46285.875</v>
      </c>
      <c r="F92">
        <v>4</v>
      </c>
      <c r="G92">
        <v>40</v>
      </c>
      <c r="H92" t="s">
        <v>17</v>
      </c>
      <c r="I92" t="s">
        <v>31</v>
      </c>
      <c r="J92">
        <v>10</v>
      </c>
      <c r="K92">
        <v>2026</v>
      </c>
      <c r="L92">
        <v>9</v>
      </c>
      <c r="M92">
        <v>21</v>
      </c>
      <c r="N92" t="s">
        <v>28</v>
      </c>
      <c r="O92" t="s">
        <v>24</v>
      </c>
      <c r="P92" t="s">
        <v>36</v>
      </c>
      <c r="Q92" t="s">
        <v>21</v>
      </c>
    </row>
    <row r="93" spans="1:17" x14ac:dyDescent="0.35">
      <c r="A93">
        <v>284</v>
      </c>
      <c r="B93">
        <v>6</v>
      </c>
      <c r="C93">
        <v>1</v>
      </c>
      <c r="D93">
        <v>6</v>
      </c>
      <c r="E93" s="21">
        <v>46111.75</v>
      </c>
      <c r="F93">
        <v>1</v>
      </c>
      <c r="G93">
        <v>8</v>
      </c>
      <c r="H93" t="s">
        <v>22</v>
      </c>
      <c r="I93" t="s">
        <v>31</v>
      </c>
      <c r="J93">
        <v>8</v>
      </c>
      <c r="K93">
        <v>2026</v>
      </c>
      <c r="L93">
        <v>3</v>
      </c>
      <c r="M93">
        <v>18</v>
      </c>
      <c r="N93" t="s">
        <v>33</v>
      </c>
      <c r="O93" t="s">
        <v>13</v>
      </c>
      <c r="P93" t="s">
        <v>39</v>
      </c>
      <c r="Q93" t="s">
        <v>21</v>
      </c>
    </row>
    <row r="94" spans="1:17" x14ac:dyDescent="0.35">
      <c r="A94">
        <v>279</v>
      </c>
      <c r="B94">
        <v>6</v>
      </c>
      <c r="C94">
        <v>19</v>
      </c>
      <c r="D94">
        <v>6</v>
      </c>
      <c r="E94" s="21">
        <v>46025.916666666664</v>
      </c>
      <c r="F94">
        <v>3</v>
      </c>
      <c r="G94">
        <v>30</v>
      </c>
      <c r="H94" t="s">
        <v>22</v>
      </c>
      <c r="I94" t="s">
        <v>31</v>
      </c>
      <c r="J94">
        <v>10</v>
      </c>
      <c r="K94">
        <v>2026</v>
      </c>
      <c r="L94">
        <v>1</v>
      </c>
      <c r="M94">
        <v>22</v>
      </c>
      <c r="N94" t="s">
        <v>23</v>
      </c>
      <c r="O94" t="s">
        <v>24</v>
      </c>
      <c r="P94" t="s">
        <v>58</v>
      </c>
      <c r="Q94" t="s">
        <v>21</v>
      </c>
    </row>
    <row r="95" spans="1:17" x14ac:dyDescent="0.35">
      <c r="A95">
        <v>106</v>
      </c>
      <c r="B95">
        <v>11</v>
      </c>
      <c r="C95">
        <v>8</v>
      </c>
      <c r="D95">
        <v>6</v>
      </c>
      <c r="E95" s="21">
        <v>46363.979166666664</v>
      </c>
      <c r="F95">
        <v>5</v>
      </c>
      <c r="G95">
        <v>45</v>
      </c>
      <c r="H95" t="s">
        <v>22</v>
      </c>
      <c r="I95" t="s">
        <v>27</v>
      </c>
      <c r="J95">
        <v>9</v>
      </c>
      <c r="K95">
        <v>2026</v>
      </c>
      <c r="L95">
        <v>12</v>
      </c>
      <c r="M95">
        <v>23</v>
      </c>
      <c r="N95" t="s">
        <v>33</v>
      </c>
      <c r="O95" t="s">
        <v>13</v>
      </c>
      <c r="P95" t="s">
        <v>42</v>
      </c>
      <c r="Q95" t="s">
        <v>21</v>
      </c>
    </row>
    <row r="96" spans="1:17" x14ac:dyDescent="0.35">
      <c r="A96">
        <v>276</v>
      </c>
      <c r="B96">
        <v>7</v>
      </c>
      <c r="C96">
        <v>4</v>
      </c>
      <c r="D96">
        <v>6</v>
      </c>
      <c r="E96" s="21">
        <v>46310.604166666664</v>
      </c>
      <c r="F96">
        <v>6</v>
      </c>
      <c r="G96">
        <v>48</v>
      </c>
      <c r="H96" t="s">
        <v>22</v>
      </c>
      <c r="I96" t="s">
        <v>18</v>
      </c>
      <c r="J96">
        <v>8</v>
      </c>
      <c r="K96">
        <v>2026</v>
      </c>
      <c r="L96">
        <v>10</v>
      </c>
      <c r="M96">
        <v>14</v>
      </c>
      <c r="N96" t="s">
        <v>41</v>
      </c>
      <c r="O96" t="s">
        <v>13</v>
      </c>
      <c r="P96" t="s">
        <v>55</v>
      </c>
      <c r="Q96" t="s">
        <v>21</v>
      </c>
    </row>
    <row r="97" spans="1:17" x14ac:dyDescent="0.35">
      <c r="A97">
        <v>262</v>
      </c>
      <c r="B97">
        <v>2</v>
      </c>
      <c r="C97">
        <v>5</v>
      </c>
      <c r="D97">
        <v>6</v>
      </c>
      <c r="E97" s="21">
        <v>46191.729166666664</v>
      </c>
      <c r="F97">
        <v>6</v>
      </c>
      <c r="G97">
        <v>48</v>
      </c>
      <c r="H97" t="s">
        <v>22</v>
      </c>
      <c r="I97" t="s">
        <v>27</v>
      </c>
      <c r="J97">
        <v>8</v>
      </c>
      <c r="K97">
        <v>2026</v>
      </c>
      <c r="L97">
        <v>6</v>
      </c>
      <c r="M97">
        <v>17</v>
      </c>
      <c r="N97" t="s">
        <v>41</v>
      </c>
      <c r="O97" t="s">
        <v>13</v>
      </c>
      <c r="P97" t="s">
        <v>53</v>
      </c>
      <c r="Q97" t="s">
        <v>21</v>
      </c>
    </row>
    <row r="98" spans="1:17" x14ac:dyDescent="0.35">
      <c r="A98">
        <v>240</v>
      </c>
      <c r="B98">
        <v>11</v>
      </c>
      <c r="C98">
        <v>16</v>
      </c>
      <c r="D98">
        <v>6</v>
      </c>
      <c r="E98" s="21">
        <v>46387.833333333336</v>
      </c>
      <c r="F98">
        <v>6</v>
      </c>
      <c r="G98">
        <v>48</v>
      </c>
      <c r="H98" t="s">
        <v>22</v>
      </c>
      <c r="I98" t="s">
        <v>18</v>
      </c>
      <c r="J98">
        <v>8</v>
      </c>
      <c r="K98">
        <v>2026</v>
      </c>
      <c r="L98">
        <v>12</v>
      </c>
      <c r="M98">
        <v>20</v>
      </c>
      <c r="N98" t="s">
        <v>41</v>
      </c>
      <c r="O98" t="s">
        <v>13</v>
      </c>
      <c r="P98" t="s">
        <v>51</v>
      </c>
      <c r="Q98" t="s">
        <v>21</v>
      </c>
    </row>
    <row r="99" spans="1:17" x14ac:dyDescent="0.35">
      <c r="A99">
        <v>238</v>
      </c>
      <c r="B99">
        <v>4</v>
      </c>
      <c r="C99">
        <v>8</v>
      </c>
      <c r="D99">
        <v>6</v>
      </c>
      <c r="E99" s="21">
        <v>46291.9375</v>
      </c>
      <c r="F99">
        <v>2</v>
      </c>
      <c r="G99">
        <v>20</v>
      </c>
      <c r="H99" t="s">
        <v>22</v>
      </c>
      <c r="I99" t="s">
        <v>18</v>
      </c>
      <c r="J99">
        <v>10</v>
      </c>
      <c r="K99">
        <v>2026</v>
      </c>
      <c r="L99">
        <v>9</v>
      </c>
      <c r="M99">
        <v>22</v>
      </c>
      <c r="N99" t="s">
        <v>23</v>
      </c>
      <c r="O99" t="s">
        <v>24</v>
      </c>
      <c r="P99" t="s">
        <v>42</v>
      </c>
      <c r="Q99" t="s">
        <v>21</v>
      </c>
    </row>
    <row r="100" spans="1:17" x14ac:dyDescent="0.35">
      <c r="A100">
        <v>227</v>
      </c>
      <c r="B100">
        <v>7</v>
      </c>
      <c r="C100">
        <v>20</v>
      </c>
      <c r="D100">
        <v>6</v>
      </c>
      <c r="E100" s="21">
        <v>46110.8125</v>
      </c>
      <c r="F100">
        <v>3</v>
      </c>
      <c r="G100">
        <v>27</v>
      </c>
      <c r="H100" t="s">
        <v>22</v>
      </c>
      <c r="I100" t="s">
        <v>27</v>
      </c>
      <c r="J100">
        <v>9</v>
      </c>
      <c r="K100">
        <v>2026</v>
      </c>
      <c r="L100">
        <v>3</v>
      </c>
      <c r="M100">
        <v>19</v>
      </c>
      <c r="N100" t="s">
        <v>28</v>
      </c>
      <c r="O100" t="s">
        <v>24</v>
      </c>
      <c r="P100" t="s">
        <v>36</v>
      </c>
      <c r="Q100" t="s">
        <v>21</v>
      </c>
    </row>
    <row r="101" spans="1:17" x14ac:dyDescent="0.35">
      <c r="A101">
        <v>220</v>
      </c>
      <c r="B101">
        <v>2</v>
      </c>
      <c r="C101">
        <v>11</v>
      </c>
      <c r="D101">
        <v>6</v>
      </c>
      <c r="E101" s="21">
        <v>46293.791666666664</v>
      </c>
      <c r="F101">
        <v>3</v>
      </c>
      <c r="G101">
        <v>24</v>
      </c>
      <c r="H101" t="s">
        <v>22</v>
      </c>
      <c r="I101" t="s">
        <v>31</v>
      </c>
      <c r="J101">
        <v>8</v>
      </c>
      <c r="K101">
        <v>2026</v>
      </c>
      <c r="L101">
        <v>9</v>
      </c>
      <c r="M101">
        <v>19</v>
      </c>
      <c r="N101" t="s">
        <v>33</v>
      </c>
      <c r="O101" t="s">
        <v>13</v>
      </c>
      <c r="P101" t="s">
        <v>59</v>
      </c>
      <c r="Q101" t="s">
        <v>21</v>
      </c>
    </row>
    <row r="102" spans="1:17" x14ac:dyDescent="0.35">
      <c r="A102">
        <v>219</v>
      </c>
      <c r="B102">
        <v>1</v>
      </c>
      <c r="C102">
        <v>13</v>
      </c>
      <c r="D102">
        <v>6</v>
      </c>
      <c r="E102" s="21">
        <v>46131.8125</v>
      </c>
      <c r="F102">
        <v>4</v>
      </c>
      <c r="G102">
        <v>36</v>
      </c>
      <c r="H102" t="s">
        <v>22</v>
      </c>
      <c r="I102" t="s">
        <v>18</v>
      </c>
      <c r="J102">
        <v>9</v>
      </c>
      <c r="K102">
        <v>2026</v>
      </c>
      <c r="L102">
        <v>4</v>
      </c>
      <c r="M102">
        <v>19</v>
      </c>
      <c r="N102" t="s">
        <v>28</v>
      </c>
      <c r="O102" t="s">
        <v>24</v>
      </c>
      <c r="P102" t="s">
        <v>49</v>
      </c>
      <c r="Q102" t="s">
        <v>21</v>
      </c>
    </row>
    <row r="103" spans="1:17" x14ac:dyDescent="0.35">
      <c r="A103">
        <v>217</v>
      </c>
      <c r="B103">
        <v>4</v>
      </c>
      <c r="C103">
        <v>14</v>
      </c>
      <c r="D103">
        <v>6</v>
      </c>
      <c r="E103" s="21">
        <v>46063.854166666664</v>
      </c>
      <c r="F103">
        <v>3</v>
      </c>
      <c r="G103">
        <v>24</v>
      </c>
      <c r="H103" t="s">
        <v>22</v>
      </c>
      <c r="I103" t="s">
        <v>18</v>
      </c>
      <c r="J103">
        <v>8</v>
      </c>
      <c r="K103">
        <v>2026</v>
      </c>
      <c r="L103">
        <v>2</v>
      </c>
      <c r="M103">
        <v>20</v>
      </c>
      <c r="N103" t="s">
        <v>37</v>
      </c>
      <c r="O103" t="s">
        <v>13</v>
      </c>
      <c r="P103" t="s">
        <v>29</v>
      </c>
      <c r="Q103" t="s">
        <v>21</v>
      </c>
    </row>
    <row r="104" spans="1:17" x14ac:dyDescent="0.35">
      <c r="A104">
        <v>210</v>
      </c>
      <c r="B104">
        <v>8</v>
      </c>
      <c r="C104">
        <v>12</v>
      </c>
      <c r="D104">
        <v>6</v>
      </c>
      <c r="E104" s="21">
        <v>46241.75</v>
      </c>
      <c r="F104">
        <v>5</v>
      </c>
      <c r="G104">
        <v>40</v>
      </c>
      <c r="H104" t="s">
        <v>17</v>
      </c>
      <c r="I104" t="s">
        <v>18</v>
      </c>
      <c r="J104">
        <v>8</v>
      </c>
      <c r="K104">
        <v>2026</v>
      </c>
      <c r="L104">
        <v>8</v>
      </c>
      <c r="M104">
        <v>18</v>
      </c>
      <c r="N104" t="s">
        <v>43</v>
      </c>
      <c r="O104" t="s">
        <v>13</v>
      </c>
      <c r="P104" t="s">
        <v>57</v>
      </c>
      <c r="Q104" t="s">
        <v>21</v>
      </c>
    </row>
    <row r="105" spans="1:17" x14ac:dyDescent="0.35">
      <c r="A105">
        <v>209</v>
      </c>
      <c r="B105">
        <v>2</v>
      </c>
      <c r="C105">
        <v>7</v>
      </c>
      <c r="D105">
        <v>6</v>
      </c>
      <c r="E105" s="21">
        <v>46141.979166666664</v>
      </c>
      <c r="F105">
        <v>6</v>
      </c>
      <c r="G105">
        <v>54</v>
      </c>
      <c r="H105" t="s">
        <v>22</v>
      </c>
      <c r="I105" t="s">
        <v>27</v>
      </c>
      <c r="J105">
        <v>9</v>
      </c>
      <c r="K105">
        <v>2026</v>
      </c>
      <c r="L105">
        <v>4</v>
      </c>
      <c r="M105">
        <v>23</v>
      </c>
      <c r="N105" t="s">
        <v>19</v>
      </c>
      <c r="O105" t="s">
        <v>13</v>
      </c>
      <c r="P105" t="s">
        <v>34</v>
      </c>
      <c r="Q105" t="s">
        <v>21</v>
      </c>
    </row>
    <row r="106" spans="1:17" x14ac:dyDescent="0.35">
      <c r="A106">
        <v>206</v>
      </c>
      <c r="B106">
        <v>17</v>
      </c>
      <c r="C106">
        <v>8</v>
      </c>
      <c r="D106">
        <v>6</v>
      </c>
      <c r="E106" s="21">
        <v>46317.9375</v>
      </c>
      <c r="F106">
        <v>4</v>
      </c>
      <c r="G106">
        <v>36</v>
      </c>
      <c r="H106" t="s">
        <v>22</v>
      </c>
      <c r="I106" t="s">
        <v>18</v>
      </c>
      <c r="J106">
        <v>9</v>
      </c>
      <c r="K106">
        <v>2026</v>
      </c>
      <c r="L106">
        <v>10</v>
      </c>
      <c r="M106">
        <v>22</v>
      </c>
      <c r="N106" t="s">
        <v>41</v>
      </c>
      <c r="O106" t="s">
        <v>13</v>
      </c>
      <c r="P106" t="s">
        <v>42</v>
      </c>
      <c r="Q106" t="s">
        <v>21</v>
      </c>
    </row>
    <row r="107" spans="1:17" x14ac:dyDescent="0.35">
      <c r="A107">
        <v>196</v>
      </c>
      <c r="B107">
        <v>10</v>
      </c>
      <c r="C107">
        <v>7</v>
      </c>
      <c r="D107">
        <v>6</v>
      </c>
      <c r="E107" s="21">
        <v>46372.625</v>
      </c>
      <c r="F107">
        <v>4</v>
      </c>
      <c r="G107">
        <v>32</v>
      </c>
      <c r="H107" t="s">
        <v>22</v>
      </c>
      <c r="I107" t="s">
        <v>27</v>
      </c>
      <c r="J107">
        <v>8</v>
      </c>
      <c r="K107">
        <v>2026</v>
      </c>
      <c r="L107">
        <v>12</v>
      </c>
      <c r="M107">
        <v>15</v>
      </c>
      <c r="N107" t="s">
        <v>19</v>
      </c>
      <c r="O107" t="s">
        <v>13</v>
      </c>
      <c r="P107" t="s">
        <v>34</v>
      </c>
      <c r="Q107" t="s">
        <v>21</v>
      </c>
    </row>
    <row r="108" spans="1:17" x14ac:dyDescent="0.35">
      <c r="A108">
        <v>190</v>
      </c>
      <c r="B108">
        <v>11</v>
      </c>
      <c r="C108">
        <v>11</v>
      </c>
      <c r="D108">
        <v>6</v>
      </c>
      <c r="E108" s="21">
        <v>46066.895833333336</v>
      </c>
      <c r="F108">
        <v>6</v>
      </c>
      <c r="G108">
        <v>54</v>
      </c>
      <c r="H108" t="s">
        <v>22</v>
      </c>
      <c r="I108" t="s">
        <v>27</v>
      </c>
      <c r="J108">
        <v>9</v>
      </c>
      <c r="K108">
        <v>2026</v>
      </c>
      <c r="L108">
        <v>2</v>
      </c>
      <c r="M108">
        <v>21</v>
      </c>
      <c r="N108" t="s">
        <v>43</v>
      </c>
      <c r="O108" t="s">
        <v>13</v>
      </c>
      <c r="P108" t="s">
        <v>59</v>
      </c>
      <c r="Q108" t="s">
        <v>21</v>
      </c>
    </row>
    <row r="109" spans="1:17" x14ac:dyDescent="0.35">
      <c r="A109">
        <v>172</v>
      </c>
      <c r="B109">
        <v>9</v>
      </c>
      <c r="C109">
        <v>5</v>
      </c>
      <c r="D109">
        <v>6</v>
      </c>
      <c r="E109" s="21">
        <v>46299.666666666664</v>
      </c>
      <c r="F109">
        <v>6</v>
      </c>
      <c r="G109">
        <v>54</v>
      </c>
      <c r="H109" t="s">
        <v>22</v>
      </c>
      <c r="I109" t="s">
        <v>18</v>
      </c>
      <c r="J109">
        <v>9</v>
      </c>
      <c r="K109">
        <v>2026</v>
      </c>
      <c r="L109">
        <v>10</v>
      </c>
      <c r="M109">
        <v>16</v>
      </c>
      <c r="N109" t="s">
        <v>28</v>
      </c>
      <c r="O109" t="s">
        <v>24</v>
      </c>
      <c r="P109" t="s">
        <v>53</v>
      </c>
      <c r="Q109" t="s">
        <v>21</v>
      </c>
    </row>
    <row r="110" spans="1:17" x14ac:dyDescent="0.35">
      <c r="A110">
        <v>168</v>
      </c>
      <c r="B110">
        <v>16</v>
      </c>
      <c r="C110">
        <v>5</v>
      </c>
      <c r="D110">
        <v>6</v>
      </c>
      <c r="E110" s="21">
        <v>46220.770833333336</v>
      </c>
      <c r="F110">
        <v>3</v>
      </c>
      <c r="G110">
        <v>24</v>
      </c>
      <c r="H110" t="s">
        <v>22</v>
      </c>
      <c r="I110" t="s">
        <v>18</v>
      </c>
      <c r="J110">
        <v>8</v>
      </c>
      <c r="K110">
        <v>2026</v>
      </c>
      <c r="L110">
        <v>7</v>
      </c>
      <c r="M110">
        <v>18</v>
      </c>
      <c r="N110" t="s">
        <v>43</v>
      </c>
      <c r="O110" t="s">
        <v>13</v>
      </c>
      <c r="P110" t="s">
        <v>53</v>
      </c>
      <c r="Q110" t="s">
        <v>21</v>
      </c>
    </row>
    <row r="111" spans="1:17" x14ac:dyDescent="0.35">
      <c r="A111">
        <v>122</v>
      </c>
      <c r="B111">
        <v>12</v>
      </c>
      <c r="C111">
        <v>16</v>
      </c>
      <c r="D111">
        <v>6</v>
      </c>
      <c r="E111" s="21">
        <v>46056.729166666664</v>
      </c>
      <c r="F111">
        <v>1</v>
      </c>
      <c r="G111">
        <v>8</v>
      </c>
      <c r="H111" t="s">
        <v>22</v>
      </c>
      <c r="I111" t="s">
        <v>27</v>
      </c>
      <c r="J111">
        <v>8</v>
      </c>
      <c r="K111">
        <v>2026</v>
      </c>
      <c r="L111">
        <v>2</v>
      </c>
      <c r="M111">
        <v>17</v>
      </c>
      <c r="N111" t="s">
        <v>37</v>
      </c>
      <c r="O111" t="s">
        <v>13</v>
      </c>
      <c r="P111" t="s">
        <v>51</v>
      </c>
      <c r="Q111" t="s">
        <v>21</v>
      </c>
    </row>
    <row r="112" spans="1:17" x14ac:dyDescent="0.35">
      <c r="A112">
        <v>161</v>
      </c>
      <c r="B112">
        <v>5</v>
      </c>
      <c r="C112">
        <v>7</v>
      </c>
      <c r="D112">
        <v>6</v>
      </c>
      <c r="E112" s="21">
        <v>46076.833333333336</v>
      </c>
      <c r="F112">
        <v>1</v>
      </c>
      <c r="G112">
        <v>8</v>
      </c>
      <c r="H112" t="s">
        <v>22</v>
      </c>
      <c r="I112" t="s">
        <v>27</v>
      </c>
      <c r="J112">
        <v>8</v>
      </c>
      <c r="K112">
        <v>2026</v>
      </c>
      <c r="L112">
        <v>2</v>
      </c>
      <c r="M112">
        <v>20</v>
      </c>
      <c r="N112" t="s">
        <v>33</v>
      </c>
      <c r="O112" t="s">
        <v>13</v>
      </c>
      <c r="P112" t="s">
        <v>34</v>
      </c>
      <c r="Q112" t="s">
        <v>21</v>
      </c>
    </row>
    <row r="113" spans="1:17" x14ac:dyDescent="0.35">
      <c r="A113">
        <v>143</v>
      </c>
      <c r="B113">
        <v>9</v>
      </c>
      <c r="C113">
        <v>17</v>
      </c>
      <c r="D113">
        <v>6</v>
      </c>
      <c r="E113" s="21">
        <v>46135.8125</v>
      </c>
      <c r="F113">
        <v>3</v>
      </c>
      <c r="G113">
        <v>24</v>
      </c>
      <c r="H113" t="s">
        <v>22</v>
      </c>
      <c r="I113" t="s">
        <v>18</v>
      </c>
      <c r="J113">
        <v>8</v>
      </c>
      <c r="K113">
        <v>2026</v>
      </c>
      <c r="L113">
        <v>4</v>
      </c>
      <c r="M113">
        <v>19</v>
      </c>
      <c r="N113" t="s">
        <v>41</v>
      </c>
      <c r="O113" t="s">
        <v>13</v>
      </c>
      <c r="P113" t="s">
        <v>56</v>
      </c>
      <c r="Q113" t="s">
        <v>21</v>
      </c>
    </row>
    <row r="114" spans="1:17" x14ac:dyDescent="0.35">
      <c r="A114">
        <v>133</v>
      </c>
      <c r="B114">
        <v>12</v>
      </c>
      <c r="C114">
        <v>10</v>
      </c>
      <c r="D114">
        <v>6</v>
      </c>
      <c r="E114" s="21">
        <v>46267.666666666664</v>
      </c>
      <c r="F114">
        <v>6</v>
      </c>
      <c r="G114">
        <v>48</v>
      </c>
      <c r="H114" t="s">
        <v>22</v>
      </c>
      <c r="I114" t="s">
        <v>31</v>
      </c>
      <c r="J114">
        <v>8</v>
      </c>
      <c r="K114">
        <v>2026</v>
      </c>
      <c r="L114">
        <v>9</v>
      </c>
      <c r="M114">
        <v>16</v>
      </c>
      <c r="N114" t="s">
        <v>19</v>
      </c>
      <c r="O114" t="s">
        <v>13</v>
      </c>
      <c r="P114" t="s">
        <v>25</v>
      </c>
      <c r="Q114" t="s">
        <v>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99C80-283F-4463-AB37-CBB681A41B2D}">
  <dimension ref="A3:B170"/>
  <sheetViews>
    <sheetView topLeftCell="A225" zoomScaleNormal="51" workbookViewId="0">
      <selection activeCell="A123" sqref="A123"/>
    </sheetView>
  </sheetViews>
  <sheetFormatPr defaultRowHeight="14.5" x14ac:dyDescent="0.35"/>
  <cols>
    <col min="1" max="1" width="12.36328125" bestFit="1" customWidth="1"/>
    <col min="2" max="2" width="18" bestFit="1" customWidth="1"/>
    <col min="3" max="3" width="8.90625" bestFit="1" customWidth="1"/>
    <col min="4" max="4" width="10.7265625" bestFit="1" customWidth="1"/>
    <col min="5" max="5" width="19" bestFit="1" customWidth="1"/>
    <col min="6" max="6" width="8.90625" bestFit="1" customWidth="1"/>
    <col min="7" max="7" width="10.7265625" bestFit="1" customWidth="1"/>
    <col min="16" max="16" width="14.7265625" bestFit="1" customWidth="1"/>
    <col min="17" max="17" width="19.6328125" bestFit="1" customWidth="1"/>
  </cols>
  <sheetData>
    <row r="3" spans="1:2" x14ac:dyDescent="0.35">
      <c r="A3" t="s">
        <v>60</v>
      </c>
    </row>
    <row r="4" spans="1:2" x14ac:dyDescent="0.35">
      <c r="A4" s="9">
        <v>29676</v>
      </c>
    </row>
    <row r="6" spans="1:2" x14ac:dyDescent="0.35">
      <c r="A6" t="s">
        <v>61</v>
      </c>
    </row>
    <row r="7" spans="1:2" x14ac:dyDescent="0.35">
      <c r="A7" s="10">
        <v>1000</v>
      </c>
    </row>
    <row r="10" spans="1:2" x14ac:dyDescent="0.35">
      <c r="A10" t="s">
        <v>62</v>
      </c>
    </row>
    <row r="11" spans="1:2" x14ac:dyDescent="0.35">
      <c r="A11" s="2">
        <v>3450</v>
      </c>
    </row>
    <row r="13" spans="1:2" x14ac:dyDescent="0.35">
      <c r="A13" t="s">
        <v>63</v>
      </c>
    </row>
    <row r="14" spans="1:2" x14ac:dyDescent="0.35">
      <c r="A14" s="11">
        <v>29.675999999999998</v>
      </c>
    </row>
    <row r="16" spans="1:2" x14ac:dyDescent="0.35">
      <c r="A16" s="3" t="s">
        <v>64</v>
      </c>
      <c r="B16" t="s">
        <v>61</v>
      </c>
    </row>
    <row r="17" spans="1:2" x14ac:dyDescent="0.35">
      <c r="A17" s="4" t="s">
        <v>17</v>
      </c>
      <c r="B17" s="2">
        <v>90</v>
      </c>
    </row>
    <row r="18" spans="1:2" x14ac:dyDescent="0.35">
      <c r="A18" s="4" t="s">
        <v>22</v>
      </c>
      <c r="B18" s="2">
        <v>910</v>
      </c>
    </row>
    <row r="19" spans="1:2" x14ac:dyDescent="0.35">
      <c r="A19" s="4" t="s">
        <v>65</v>
      </c>
      <c r="B19" s="2">
        <v>1000</v>
      </c>
    </row>
    <row r="28" spans="1:2" x14ac:dyDescent="0.35">
      <c r="A28">
        <v>6</v>
      </c>
    </row>
    <row r="29" spans="1:2" x14ac:dyDescent="0.35">
      <c r="A29" s="3" t="s">
        <v>64</v>
      </c>
      <c r="B29" t="s">
        <v>60</v>
      </c>
    </row>
    <row r="30" spans="1:2" x14ac:dyDescent="0.35">
      <c r="A30" s="4">
        <v>1</v>
      </c>
      <c r="B30" s="2">
        <v>2382</v>
      </c>
    </row>
    <row r="31" spans="1:2" x14ac:dyDescent="0.35">
      <c r="A31" s="4">
        <v>2</v>
      </c>
      <c r="B31" s="2">
        <v>2677</v>
      </c>
    </row>
    <row r="32" spans="1:2" x14ac:dyDescent="0.35">
      <c r="A32" s="4">
        <v>3</v>
      </c>
      <c r="B32" s="2">
        <v>2320</v>
      </c>
    </row>
    <row r="33" spans="1:2" x14ac:dyDescent="0.35">
      <c r="A33" s="4">
        <v>4</v>
      </c>
      <c r="B33" s="2">
        <v>3052</v>
      </c>
    </row>
    <row r="34" spans="1:2" x14ac:dyDescent="0.35">
      <c r="A34" s="4">
        <v>5</v>
      </c>
      <c r="B34" s="2">
        <v>2205</v>
      </c>
    </row>
    <row r="35" spans="1:2" x14ac:dyDescent="0.35">
      <c r="A35" s="4">
        <v>6</v>
      </c>
      <c r="B35" s="2">
        <v>2533</v>
      </c>
    </row>
    <row r="36" spans="1:2" x14ac:dyDescent="0.35">
      <c r="A36" s="4">
        <v>7</v>
      </c>
      <c r="B36" s="2">
        <v>2570</v>
      </c>
    </row>
    <row r="37" spans="1:2" x14ac:dyDescent="0.35">
      <c r="A37" s="4">
        <v>8</v>
      </c>
      <c r="B37" s="2">
        <v>2037</v>
      </c>
    </row>
    <row r="38" spans="1:2" x14ac:dyDescent="0.35">
      <c r="A38" s="4">
        <v>9</v>
      </c>
      <c r="B38" s="2">
        <v>2339</v>
      </c>
    </row>
    <row r="39" spans="1:2" x14ac:dyDescent="0.35">
      <c r="A39" s="4">
        <v>10</v>
      </c>
      <c r="B39" s="2">
        <v>2642</v>
      </c>
    </row>
    <row r="40" spans="1:2" x14ac:dyDescent="0.35">
      <c r="A40" s="4">
        <v>11</v>
      </c>
      <c r="B40" s="2">
        <v>2485</v>
      </c>
    </row>
    <row r="41" spans="1:2" x14ac:dyDescent="0.35">
      <c r="A41" s="4">
        <v>12</v>
      </c>
      <c r="B41" s="2">
        <v>2434</v>
      </c>
    </row>
    <row r="42" spans="1:2" x14ac:dyDescent="0.35">
      <c r="A42" s="4" t="s">
        <v>65</v>
      </c>
      <c r="B42" s="2">
        <v>29676</v>
      </c>
    </row>
    <row r="46" spans="1:2" x14ac:dyDescent="0.35">
      <c r="A46">
        <v>10</v>
      </c>
    </row>
    <row r="47" spans="1:2" x14ac:dyDescent="0.35">
      <c r="A47" s="3" t="s">
        <v>64</v>
      </c>
      <c r="B47" t="s">
        <v>60</v>
      </c>
    </row>
    <row r="48" spans="1:2" x14ac:dyDescent="0.35">
      <c r="A48" s="4" t="s">
        <v>26</v>
      </c>
      <c r="B48" s="2">
        <v>3490</v>
      </c>
    </row>
    <row r="49" spans="1:2" x14ac:dyDescent="0.35">
      <c r="A49" s="4" t="s">
        <v>21</v>
      </c>
      <c r="B49" s="2">
        <v>3110</v>
      </c>
    </row>
    <row r="50" spans="1:2" x14ac:dyDescent="0.35">
      <c r="A50" s="4" t="s">
        <v>45</v>
      </c>
      <c r="B50" s="2">
        <v>3063</v>
      </c>
    </row>
    <row r="51" spans="1:2" x14ac:dyDescent="0.35">
      <c r="A51" s="4" t="s">
        <v>32</v>
      </c>
      <c r="B51" s="2">
        <v>2974</v>
      </c>
    </row>
    <row r="52" spans="1:2" x14ac:dyDescent="0.35">
      <c r="A52" s="4" t="s">
        <v>30</v>
      </c>
      <c r="B52" s="2">
        <v>2972</v>
      </c>
    </row>
    <row r="53" spans="1:2" x14ac:dyDescent="0.35">
      <c r="A53" s="4" t="s">
        <v>46</v>
      </c>
      <c r="B53" s="2">
        <v>2948</v>
      </c>
    </row>
    <row r="54" spans="1:2" x14ac:dyDescent="0.35">
      <c r="A54" s="4" t="s">
        <v>35</v>
      </c>
      <c r="B54" s="2">
        <v>2933</v>
      </c>
    </row>
    <row r="55" spans="1:2" x14ac:dyDescent="0.35">
      <c r="A55" s="4" t="s">
        <v>54</v>
      </c>
      <c r="B55" s="2">
        <v>2829</v>
      </c>
    </row>
    <row r="56" spans="1:2" x14ac:dyDescent="0.35">
      <c r="A56" s="4" t="s">
        <v>50</v>
      </c>
      <c r="B56" s="2">
        <v>2718</v>
      </c>
    </row>
    <row r="57" spans="1:2" x14ac:dyDescent="0.35">
      <c r="A57" s="4" t="s">
        <v>40</v>
      </c>
      <c r="B57" s="2">
        <v>2639</v>
      </c>
    </row>
    <row r="58" spans="1:2" x14ac:dyDescent="0.35">
      <c r="A58" s="4" t="s">
        <v>65</v>
      </c>
      <c r="B58" s="2">
        <v>29676</v>
      </c>
    </row>
    <row r="62" spans="1:2" x14ac:dyDescent="0.35">
      <c r="A62">
        <v>13</v>
      </c>
    </row>
    <row r="63" spans="1:2" x14ac:dyDescent="0.35">
      <c r="A63" s="3" t="s">
        <v>64</v>
      </c>
      <c r="B63" t="s">
        <v>61</v>
      </c>
    </row>
    <row r="64" spans="1:2" x14ac:dyDescent="0.35">
      <c r="A64" s="4" t="s">
        <v>31</v>
      </c>
      <c r="B64" s="2">
        <v>316</v>
      </c>
    </row>
    <row r="65" spans="1:2" x14ac:dyDescent="0.35">
      <c r="A65" s="4" t="s">
        <v>18</v>
      </c>
      <c r="B65" s="2">
        <v>363</v>
      </c>
    </row>
    <row r="66" spans="1:2" x14ac:dyDescent="0.35">
      <c r="A66" s="4" t="s">
        <v>27</v>
      </c>
      <c r="B66" s="2">
        <v>321</v>
      </c>
    </row>
    <row r="67" spans="1:2" x14ac:dyDescent="0.35">
      <c r="A67" s="4" t="s">
        <v>65</v>
      </c>
      <c r="B67" s="2">
        <v>1000</v>
      </c>
    </row>
    <row r="71" spans="1:2" x14ac:dyDescent="0.35">
      <c r="A71" s="3" t="s">
        <v>64</v>
      </c>
      <c r="B71" t="s">
        <v>60</v>
      </c>
    </row>
    <row r="72" spans="1:2" x14ac:dyDescent="0.35">
      <c r="A72" s="4" t="s">
        <v>36</v>
      </c>
      <c r="B72" s="2">
        <v>2001</v>
      </c>
    </row>
    <row r="73" spans="1:2" x14ac:dyDescent="0.35">
      <c r="A73" s="4" t="s">
        <v>42</v>
      </c>
      <c r="B73" s="2">
        <v>1681</v>
      </c>
    </row>
    <row r="74" spans="1:2" x14ac:dyDescent="0.35">
      <c r="A74" s="4" t="s">
        <v>20</v>
      </c>
      <c r="B74" s="2">
        <v>1664</v>
      </c>
    </row>
    <row r="75" spans="1:2" x14ac:dyDescent="0.35">
      <c r="A75" s="4" t="s">
        <v>49</v>
      </c>
      <c r="B75" s="2">
        <v>1610</v>
      </c>
    </row>
    <row r="76" spans="1:2" x14ac:dyDescent="0.35">
      <c r="A76" s="4" t="s">
        <v>57</v>
      </c>
      <c r="B76" s="2">
        <v>1594</v>
      </c>
    </row>
    <row r="77" spans="1:2" x14ac:dyDescent="0.35">
      <c r="A77" s="4" t="s">
        <v>48</v>
      </c>
      <c r="B77" s="2">
        <v>1565</v>
      </c>
    </row>
    <row r="78" spans="1:2" x14ac:dyDescent="0.35">
      <c r="A78" s="4" t="s">
        <v>47</v>
      </c>
      <c r="B78" s="2">
        <v>1520</v>
      </c>
    </row>
    <row r="79" spans="1:2" x14ac:dyDescent="0.35">
      <c r="A79" s="4" t="s">
        <v>59</v>
      </c>
      <c r="B79" s="2">
        <v>1507</v>
      </c>
    </row>
    <row r="80" spans="1:2" x14ac:dyDescent="0.35">
      <c r="A80" s="4" t="s">
        <v>51</v>
      </c>
      <c r="B80" s="2">
        <v>1498</v>
      </c>
    </row>
    <row r="81" spans="1:2" x14ac:dyDescent="0.35">
      <c r="A81" s="4" t="s">
        <v>44</v>
      </c>
      <c r="B81" s="2">
        <v>1482</v>
      </c>
    </row>
    <row r="82" spans="1:2" x14ac:dyDescent="0.35">
      <c r="A82" s="4" t="s">
        <v>56</v>
      </c>
      <c r="B82" s="2">
        <v>1429</v>
      </c>
    </row>
    <row r="83" spans="1:2" x14ac:dyDescent="0.35">
      <c r="A83" s="4" t="s">
        <v>52</v>
      </c>
      <c r="B83" s="2">
        <v>1404</v>
      </c>
    </row>
    <row r="84" spans="1:2" x14ac:dyDescent="0.35">
      <c r="A84" s="4" t="s">
        <v>58</v>
      </c>
      <c r="B84" s="2">
        <v>1399</v>
      </c>
    </row>
    <row r="85" spans="1:2" x14ac:dyDescent="0.35">
      <c r="A85" s="4" t="s">
        <v>55</v>
      </c>
      <c r="B85" s="2">
        <v>1387</v>
      </c>
    </row>
    <row r="86" spans="1:2" x14ac:dyDescent="0.35">
      <c r="A86" s="4" t="s">
        <v>38</v>
      </c>
      <c r="B86" s="2">
        <v>1361</v>
      </c>
    </row>
    <row r="87" spans="1:2" x14ac:dyDescent="0.35">
      <c r="A87" s="4" t="s">
        <v>39</v>
      </c>
      <c r="B87" s="2">
        <v>1334</v>
      </c>
    </row>
    <row r="88" spans="1:2" x14ac:dyDescent="0.35">
      <c r="A88" s="4" t="s">
        <v>34</v>
      </c>
      <c r="B88" s="2">
        <v>1330</v>
      </c>
    </row>
    <row r="89" spans="1:2" x14ac:dyDescent="0.35">
      <c r="A89" s="4" t="s">
        <v>53</v>
      </c>
      <c r="B89" s="2">
        <v>1316</v>
      </c>
    </row>
    <row r="90" spans="1:2" x14ac:dyDescent="0.35">
      <c r="A90" s="4" t="s">
        <v>29</v>
      </c>
      <c r="B90" s="2">
        <v>1301</v>
      </c>
    </row>
    <row r="91" spans="1:2" x14ac:dyDescent="0.35">
      <c r="A91" s="4" t="s">
        <v>25</v>
      </c>
      <c r="B91" s="2">
        <v>1293</v>
      </c>
    </row>
    <row r="92" spans="1:2" x14ac:dyDescent="0.35">
      <c r="A92" s="4" t="s">
        <v>65</v>
      </c>
      <c r="B92" s="2">
        <v>29676</v>
      </c>
    </row>
    <row r="96" spans="1:2" x14ac:dyDescent="0.35">
      <c r="A96">
        <v>19</v>
      </c>
    </row>
    <row r="97" spans="1:2" x14ac:dyDescent="0.35">
      <c r="A97" s="3" t="s">
        <v>64</v>
      </c>
      <c r="B97" t="s">
        <v>61</v>
      </c>
    </row>
    <row r="98" spans="1:2" x14ac:dyDescent="0.35">
      <c r="A98" s="4" t="s">
        <v>31</v>
      </c>
      <c r="B98" s="2">
        <v>316</v>
      </c>
    </row>
    <row r="99" spans="1:2" x14ac:dyDescent="0.35">
      <c r="A99" s="4" t="s">
        <v>18</v>
      </c>
      <c r="B99" s="2">
        <v>363</v>
      </c>
    </row>
    <row r="100" spans="1:2" x14ac:dyDescent="0.35">
      <c r="A100" s="4" t="s">
        <v>27</v>
      </c>
      <c r="B100" s="2">
        <v>321</v>
      </c>
    </row>
    <row r="101" spans="1:2" x14ac:dyDescent="0.35">
      <c r="A101" s="4" t="s">
        <v>65</v>
      </c>
      <c r="B101" s="2">
        <v>1000</v>
      </c>
    </row>
    <row r="108" spans="1:2" x14ac:dyDescent="0.35">
      <c r="A108">
        <v>17</v>
      </c>
    </row>
    <row r="121" spans="1:1" x14ac:dyDescent="0.35">
      <c r="A121">
        <v>11</v>
      </c>
    </row>
    <row r="133" spans="1:1" x14ac:dyDescent="0.35">
      <c r="A133" s="18"/>
    </row>
    <row r="146" spans="1:2" x14ac:dyDescent="0.35">
      <c r="A146" s="3" t="s">
        <v>64</v>
      </c>
      <c r="B146" t="s">
        <v>61</v>
      </c>
    </row>
    <row r="147" spans="1:2" x14ac:dyDescent="0.35">
      <c r="A147" s="4" t="s">
        <v>41</v>
      </c>
      <c r="B147" s="2">
        <v>159</v>
      </c>
    </row>
    <row r="148" spans="1:2" x14ac:dyDescent="0.35">
      <c r="A148" s="4" t="s">
        <v>23</v>
      </c>
      <c r="B148" s="2">
        <v>159</v>
      </c>
    </row>
    <row r="149" spans="1:2" x14ac:dyDescent="0.35">
      <c r="A149" s="4" t="s">
        <v>28</v>
      </c>
      <c r="B149" s="2">
        <v>147</v>
      </c>
    </row>
    <row r="150" spans="1:2" x14ac:dyDescent="0.35">
      <c r="A150" s="4" t="s">
        <v>37</v>
      </c>
      <c r="B150" s="2">
        <v>146</v>
      </c>
    </row>
    <row r="151" spans="1:2" x14ac:dyDescent="0.35">
      <c r="A151" s="4" t="s">
        <v>19</v>
      </c>
      <c r="B151" s="2">
        <v>141</v>
      </c>
    </row>
    <row r="152" spans="1:2" x14ac:dyDescent="0.35">
      <c r="A152" s="4" t="s">
        <v>43</v>
      </c>
      <c r="B152" s="2">
        <v>130</v>
      </c>
    </row>
    <row r="153" spans="1:2" x14ac:dyDescent="0.35">
      <c r="A153" s="4" t="s">
        <v>33</v>
      </c>
      <c r="B153" s="2">
        <v>118</v>
      </c>
    </row>
    <row r="154" spans="1:2" x14ac:dyDescent="0.35">
      <c r="A154" s="4" t="s">
        <v>65</v>
      </c>
      <c r="B154" s="2">
        <v>1000</v>
      </c>
    </row>
    <row r="157" spans="1:2" x14ac:dyDescent="0.35">
      <c r="A157" s="3" t="s">
        <v>64</v>
      </c>
      <c r="B157" t="s">
        <v>61</v>
      </c>
    </row>
    <row r="158" spans="1:2" x14ac:dyDescent="0.35">
      <c r="A158" s="4">
        <v>1</v>
      </c>
      <c r="B158" s="2">
        <v>86</v>
      </c>
    </row>
    <row r="159" spans="1:2" x14ac:dyDescent="0.35">
      <c r="A159" s="4">
        <v>2</v>
      </c>
      <c r="B159" s="2">
        <v>85</v>
      </c>
    </row>
    <row r="160" spans="1:2" x14ac:dyDescent="0.35">
      <c r="A160" s="4">
        <v>3</v>
      </c>
      <c r="B160" s="2">
        <v>82</v>
      </c>
    </row>
    <row r="161" spans="1:2" x14ac:dyDescent="0.35">
      <c r="A161" s="4">
        <v>4</v>
      </c>
      <c r="B161" s="2">
        <v>95</v>
      </c>
    </row>
    <row r="162" spans="1:2" x14ac:dyDescent="0.35">
      <c r="A162" s="4">
        <v>5</v>
      </c>
      <c r="B162" s="2">
        <v>77</v>
      </c>
    </row>
    <row r="163" spans="1:2" x14ac:dyDescent="0.35">
      <c r="A163" s="4">
        <v>6</v>
      </c>
      <c r="B163" s="2">
        <v>83</v>
      </c>
    </row>
    <row r="164" spans="1:2" x14ac:dyDescent="0.35">
      <c r="A164" s="4">
        <v>7</v>
      </c>
      <c r="B164" s="2">
        <v>90</v>
      </c>
    </row>
    <row r="165" spans="1:2" x14ac:dyDescent="0.35">
      <c r="A165" s="4">
        <v>8</v>
      </c>
      <c r="B165" s="2">
        <v>72</v>
      </c>
    </row>
    <row r="166" spans="1:2" x14ac:dyDescent="0.35">
      <c r="A166" s="4">
        <v>9</v>
      </c>
      <c r="B166" s="2">
        <v>85</v>
      </c>
    </row>
    <row r="167" spans="1:2" x14ac:dyDescent="0.35">
      <c r="A167" s="4">
        <v>10</v>
      </c>
      <c r="B167" s="2">
        <v>83</v>
      </c>
    </row>
    <row r="168" spans="1:2" x14ac:dyDescent="0.35">
      <c r="A168" s="4">
        <v>11</v>
      </c>
      <c r="B168" s="2">
        <v>79</v>
      </c>
    </row>
    <row r="169" spans="1:2" x14ac:dyDescent="0.35">
      <c r="A169" s="4">
        <v>12</v>
      </c>
      <c r="B169" s="2">
        <v>83</v>
      </c>
    </row>
    <row r="170" spans="1:2" x14ac:dyDescent="0.35">
      <c r="A170" s="4" t="s">
        <v>65</v>
      </c>
      <c r="B170" s="2">
        <v>1000</v>
      </c>
    </row>
  </sheetData>
  <pageMargins left="0.7" right="0.7" top="0.75" bottom="0.75" header="0.3" footer="0.3"/>
  <pageSetup orientation="portrait" r:id="rId13"/>
  <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E7F2D-5C1E-42D6-B14C-96AC39D3BCDA}">
  <dimension ref="A3:V100"/>
  <sheetViews>
    <sheetView topLeftCell="A557" workbookViewId="0">
      <selection activeCell="C91" sqref="C91"/>
    </sheetView>
  </sheetViews>
  <sheetFormatPr defaultRowHeight="14.5" x14ac:dyDescent="0.35"/>
  <cols>
    <col min="1" max="1" width="23.453125" bestFit="1" customWidth="1"/>
    <col min="2" max="2" width="15.26953125" bestFit="1" customWidth="1"/>
    <col min="3" max="3" width="11.81640625" bestFit="1" customWidth="1"/>
    <col min="4" max="4" width="11.1796875" bestFit="1" customWidth="1"/>
    <col min="5" max="5" width="8.54296875" bestFit="1" customWidth="1"/>
    <col min="6" max="6" width="14.7265625" bestFit="1" customWidth="1"/>
    <col min="7" max="7" width="16" bestFit="1" customWidth="1"/>
    <col min="8" max="8" width="9.6328125" bestFit="1" customWidth="1"/>
    <col min="9" max="9" width="13.26953125" bestFit="1" customWidth="1"/>
    <col min="10" max="10" width="11.26953125" bestFit="1" customWidth="1"/>
    <col min="11" max="11" width="11.54296875" bestFit="1" customWidth="1"/>
    <col min="12" max="12" width="11.81640625" bestFit="1" customWidth="1"/>
    <col min="13" max="13" width="13.453125" bestFit="1" customWidth="1"/>
    <col min="14" max="14" width="11.54296875" bestFit="1" customWidth="1"/>
    <col min="15" max="15" width="12.1796875" bestFit="1" customWidth="1"/>
    <col min="16" max="16" width="12.6328125" bestFit="1" customWidth="1"/>
    <col min="17" max="17" width="12.26953125" bestFit="1" customWidth="1"/>
    <col min="18" max="18" width="17.54296875" bestFit="1" customWidth="1"/>
    <col min="19" max="19" width="15.6328125" bestFit="1" customWidth="1"/>
    <col min="20" max="20" width="14.7265625" bestFit="1" customWidth="1"/>
    <col min="21" max="21" width="14.81640625" bestFit="1" customWidth="1"/>
    <col min="22" max="22" width="10.7265625" bestFit="1" customWidth="1"/>
  </cols>
  <sheetData>
    <row r="3" spans="1:2" x14ac:dyDescent="0.35">
      <c r="A3" s="3" t="s">
        <v>64</v>
      </c>
      <c r="B3" t="s">
        <v>60</v>
      </c>
    </row>
    <row r="4" spans="1:2" x14ac:dyDescent="0.35">
      <c r="A4" s="4" t="s">
        <v>36</v>
      </c>
      <c r="B4" s="20">
        <v>2001</v>
      </c>
    </row>
    <row r="5" spans="1:2" x14ac:dyDescent="0.35">
      <c r="A5" s="4" t="s">
        <v>42</v>
      </c>
      <c r="B5" s="2">
        <v>1681</v>
      </c>
    </row>
    <row r="6" spans="1:2" x14ac:dyDescent="0.35">
      <c r="A6" s="4" t="s">
        <v>20</v>
      </c>
      <c r="B6" s="2">
        <v>1664</v>
      </c>
    </row>
    <row r="7" spans="1:2" x14ac:dyDescent="0.35">
      <c r="A7" s="4" t="s">
        <v>49</v>
      </c>
      <c r="B7" s="2">
        <v>1610</v>
      </c>
    </row>
    <row r="8" spans="1:2" x14ac:dyDescent="0.35">
      <c r="A8" s="4" t="s">
        <v>57</v>
      </c>
      <c r="B8" s="2">
        <v>1594</v>
      </c>
    </row>
    <row r="9" spans="1:2" x14ac:dyDescent="0.35">
      <c r="A9" s="4" t="s">
        <v>48</v>
      </c>
      <c r="B9" s="2">
        <v>1565</v>
      </c>
    </row>
    <row r="10" spans="1:2" x14ac:dyDescent="0.35">
      <c r="A10" s="4" t="s">
        <v>47</v>
      </c>
      <c r="B10" s="2">
        <v>1520</v>
      </c>
    </row>
    <row r="11" spans="1:2" x14ac:dyDescent="0.35">
      <c r="A11" s="4" t="s">
        <v>59</v>
      </c>
      <c r="B11" s="2">
        <v>1507</v>
      </c>
    </row>
    <row r="12" spans="1:2" x14ac:dyDescent="0.35">
      <c r="A12" s="4" t="s">
        <v>51</v>
      </c>
      <c r="B12" s="2">
        <v>1498</v>
      </c>
    </row>
    <row r="13" spans="1:2" x14ac:dyDescent="0.35">
      <c r="A13" s="4" t="s">
        <v>44</v>
      </c>
      <c r="B13" s="2">
        <v>1482</v>
      </c>
    </row>
    <row r="14" spans="1:2" x14ac:dyDescent="0.35">
      <c r="A14" s="4" t="s">
        <v>65</v>
      </c>
      <c r="B14" s="2">
        <v>16122</v>
      </c>
    </row>
    <row r="88" spans="1:22" x14ac:dyDescent="0.35">
      <c r="A88" s="3" t="s">
        <v>61</v>
      </c>
      <c r="B88" s="3" t="s">
        <v>71</v>
      </c>
    </row>
    <row r="89" spans="1:22" x14ac:dyDescent="0.35">
      <c r="A89" s="3" t="s">
        <v>64</v>
      </c>
      <c r="B89" t="s">
        <v>44</v>
      </c>
      <c r="C89" t="s">
        <v>52</v>
      </c>
      <c r="D89" t="s">
        <v>48</v>
      </c>
      <c r="E89" t="s">
        <v>57</v>
      </c>
      <c r="F89" t="s">
        <v>38</v>
      </c>
      <c r="G89" t="s">
        <v>34</v>
      </c>
      <c r="H89" t="s">
        <v>25</v>
      </c>
      <c r="I89" t="s">
        <v>56</v>
      </c>
      <c r="J89" t="s">
        <v>55</v>
      </c>
      <c r="K89" t="s">
        <v>36</v>
      </c>
      <c r="L89" t="s">
        <v>59</v>
      </c>
      <c r="M89" t="s">
        <v>51</v>
      </c>
      <c r="N89" t="s">
        <v>47</v>
      </c>
      <c r="O89" t="s">
        <v>20</v>
      </c>
      <c r="P89" t="s">
        <v>49</v>
      </c>
      <c r="Q89" t="s">
        <v>58</v>
      </c>
      <c r="R89" t="s">
        <v>42</v>
      </c>
      <c r="S89" t="s">
        <v>29</v>
      </c>
      <c r="T89" t="s">
        <v>39</v>
      </c>
      <c r="U89" t="s">
        <v>53</v>
      </c>
      <c r="V89" t="s">
        <v>65</v>
      </c>
    </row>
    <row r="90" spans="1:22" x14ac:dyDescent="0.35">
      <c r="A90" s="4" t="s">
        <v>21</v>
      </c>
      <c r="B90" s="19">
        <v>3</v>
      </c>
      <c r="C90" s="19">
        <v>8</v>
      </c>
      <c r="D90" s="19">
        <v>3</v>
      </c>
      <c r="E90" s="19">
        <v>9</v>
      </c>
      <c r="F90" s="19">
        <v>5</v>
      </c>
      <c r="G90" s="19">
        <v>5</v>
      </c>
      <c r="H90" s="19">
        <v>5</v>
      </c>
      <c r="I90" s="19">
        <v>7</v>
      </c>
      <c r="J90" s="19">
        <v>3</v>
      </c>
      <c r="K90" s="19">
        <v>7</v>
      </c>
      <c r="L90" s="19">
        <v>10</v>
      </c>
      <c r="M90" s="19">
        <v>8</v>
      </c>
      <c r="N90" s="19">
        <v>2</v>
      </c>
      <c r="O90" s="19">
        <v>3</v>
      </c>
      <c r="P90" s="19">
        <v>4</v>
      </c>
      <c r="Q90" s="19">
        <v>7</v>
      </c>
      <c r="R90" s="19">
        <v>7</v>
      </c>
      <c r="S90" s="19">
        <v>5</v>
      </c>
      <c r="T90" s="19">
        <v>4</v>
      </c>
      <c r="U90" s="19">
        <v>8</v>
      </c>
      <c r="V90" s="19">
        <v>113</v>
      </c>
    </row>
    <row r="91" spans="1:22" x14ac:dyDescent="0.35">
      <c r="A91" s="4" t="s">
        <v>26</v>
      </c>
      <c r="B91" s="19">
        <v>7</v>
      </c>
      <c r="C91" s="19">
        <v>5</v>
      </c>
      <c r="D91" s="19">
        <v>3</v>
      </c>
      <c r="E91" s="19">
        <v>10</v>
      </c>
      <c r="F91" s="19">
        <v>8</v>
      </c>
      <c r="G91" s="19">
        <v>1</v>
      </c>
      <c r="H91" s="19">
        <v>3</v>
      </c>
      <c r="I91" s="19">
        <v>7</v>
      </c>
      <c r="J91" s="19">
        <v>4</v>
      </c>
      <c r="K91" s="19">
        <v>7</v>
      </c>
      <c r="L91" s="19">
        <v>4</v>
      </c>
      <c r="M91" s="19">
        <v>5</v>
      </c>
      <c r="N91" s="19">
        <v>7</v>
      </c>
      <c r="O91" s="19">
        <v>9</v>
      </c>
      <c r="P91" s="19">
        <v>5</v>
      </c>
      <c r="Q91" s="19">
        <v>6</v>
      </c>
      <c r="R91" s="19">
        <v>7</v>
      </c>
      <c r="S91" s="19">
        <v>5</v>
      </c>
      <c r="T91" s="19">
        <v>2</v>
      </c>
      <c r="U91" s="19">
        <v>6</v>
      </c>
      <c r="V91" s="19">
        <v>111</v>
      </c>
    </row>
    <row r="92" spans="1:22" x14ac:dyDescent="0.35">
      <c r="A92" s="4" t="s">
        <v>46</v>
      </c>
      <c r="B92" s="19">
        <v>6</v>
      </c>
      <c r="C92" s="19">
        <v>3</v>
      </c>
      <c r="D92" s="19">
        <v>6</v>
      </c>
      <c r="E92" s="19">
        <v>3</v>
      </c>
      <c r="F92" s="19">
        <v>2</v>
      </c>
      <c r="G92" s="19">
        <v>9</v>
      </c>
      <c r="H92" s="19">
        <v>7</v>
      </c>
      <c r="I92" s="19">
        <v>2</v>
      </c>
      <c r="J92" s="19">
        <v>10</v>
      </c>
      <c r="K92" s="19">
        <v>8</v>
      </c>
      <c r="L92" s="19">
        <v>5</v>
      </c>
      <c r="M92" s="19">
        <v>5</v>
      </c>
      <c r="N92" s="19">
        <v>4</v>
      </c>
      <c r="O92" s="19">
        <v>6</v>
      </c>
      <c r="P92" s="19">
        <v>6</v>
      </c>
      <c r="Q92" s="19">
        <v>3</v>
      </c>
      <c r="R92" s="19">
        <v>4</v>
      </c>
      <c r="S92" s="19">
        <v>7</v>
      </c>
      <c r="T92" s="19">
        <v>3</v>
      </c>
      <c r="U92" s="19">
        <v>5</v>
      </c>
      <c r="V92" s="19">
        <v>104</v>
      </c>
    </row>
    <row r="93" spans="1:22" x14ac:dyDescent="0.35">
      <c r="A93" s="4" t="s">
        <v>45</v>
      </c>
      <c r="B93" s="19">
        <v>3</v>
      </c>
      <c r="C93" s="19">
        <v>4</v>
      </c>
      <c r="D93" s="19">
        <v>8</v>
      </c>
      <c r="E93" s="19">
        <v>4</v>
      </c>
      <c r="F93" s="19">
        <v>6</v>
      </c>
      <c r="G93" s="19">
        <v>8</v>
      </c>
      <c r="H93" s="19">
        <v>3</v>
      </c>
      <c r="I93" s="19">
        <v>5</v>
      </c>
      <c r="J93" s="19">
        <v>1</v>
      </c>
      <c r="K93" s="19">
        <v>7</v>
      </c>
      <c r="L93" s="19">
        <v>5</v>
      </c>
      <c r="M93" s="19">
        <v>5</v>
      </c>
      <c r="N93" s="19">
        <v>6</v>
      </c>
      <c r="O93" s="19">
        <v>8</v>
      </c>
      <c r="P93" s="19">
        <v>5</v>
      </c>
      <c r="Q93" s="19">
        <v>5</v>
      </c>
      <c r="R93" s="19">
        <v>6</v>
      </c>
      <c r="S93" s="19">
        <v>4</v>
      </c>
      <c r="T93" s="19">
        <v>7</v>
      </c>
      <c r="U93" s="19">
        <v>3</v>
      </c>
      <c r="V93" s="19">
        <v>103</v>
      </c>
    </row>
    <row r="94" spans="1:22" x14ac:dyDescent="0.35">
      <c r="A94" s="4" t="s">
        <v>30</v>
      </c>
      <c r="B94" s="19">
        <v>10</v>
      </c>
      <c r="C94" s="19">
        <v>3</v>
      </c>
      <c r="D94" s="19">
        <v>8</v>
      </c>
      <c r="E94" s="19">
        <v>4</v>
      </c>
      <c r="F94" s="19">
        <v>4</v>
      </c>
      <c r="G94" s="19">
        <v>5</v>
      </c>
      <c r="H94" s="19">
        <v>2</v>
      </c>
      <c r="I94" s="19">
        <v>7</v>
      </c>
      <c r="J94" s="19">
        <v>4</v>
      </c>
      <c r="K94" s="19">
        <v>6</v>
      </c>
      <c r="L94" s="19">
        <v>3</v>
      </c>
      <c r="M94" s="19">
        <v>2</v>
      </c>
      <c r="N94" s="19">
        <v>9</v>
      </c>
      <c r="O94" s="19">
        <v>2</v>
      </c>
      <c r="P94" s="19">
        <v>2</v>
      </c>
      <c r="Q94" s="19">
        <v>10</v>
      </c>
      <c r="R94" s="19">
        <v>3</v>
      </c>
      <c r="S94" s="19">
        <v>5</v>
      </c>
      <c r="T94" s="19">
        <v>6</v>
      </c>
      <c r="U94" s="19">
        <v>3</v>
      </c>
      <c r="V94" s="19">
        <v>98</v>
      </c>
    </row>
    <row r="95" spans="1:22" x14ac:dyDescent="0.35">
      <c r="A95" s="4" t="s">
        <v>35</v>
      </c>
      <c r="B95" s="19">
        <v>3</v>
      </c>
      <c r="C95" s="19">
        <v>6</v>
      </c>
      <c r="D95" s="19">
        <v>7</v>
      </c>
      <c r="E95" s="19">
        <v>2</v>
      </c>
      <c r="F95" s="19">
        <v>4</v>
      </c>
      <c r="G95" s="19">
        <v>8</v>
      </c>
      <c r="H95" s="19">
        <v>5</v>
      </c>
      <c r="I95" s="19">
        <v>3</v>
      </c>
      <c r="J95" s="19">
        <v>4</v>
      </c>
      <c r="K95" s="19">
        <v>3</v>
      </c>
      <c r="L95" s="19">
        <v>4</v>
      </c>
      <c r="M95" s="19">
        <v>9</v>
      </c>
      <c r="N95" s="19">
        <v>4</v>
      </c>
      <c r="O95" s="19">
        <v>3</v>
      </c>
      <c r="P95" s="19">
        <v>8</v>
      </c>
      <c r="Q95" s="19">
        <v>5</v>
      </c>
      <c r="R95" s="19">
        <v>8</v>
      </c>
      <c r="S95" s="19">
        <v>3</v>
      </c>
      <c r="T95" s="19">
        <v>5</v>
      </c>
      <c r="U95" s="19">
        <v>4</v>
      </c>
      <c r="V95" s="19">
        <v>98</v>
      </c>
    </row>
    <row r="96" spans="1:22" x14ac:dyDescent="0.35">
      <c r="A96" s="4" t="s">
        <v>32</v>
      </c>
      <c r="B96" s="19">
        <v>1</v>
      </c>
      <c r="C96" s="19">
        <v>10</v>
      </c>
      <c r="D96" s="19">
        <v>7</v>
      </c>
      <c r="E96" s="19">
        <v>2</v>
      </c>
      <c r="F96" s="19">
        <v>4</v>
      </c>
      <c r="G96" s="19">
        <v>2</v>
      </c>
      <c r="H96" s="19">
        <v>6</v>
      </c>
      <c r="I96" s="19">
        <v>5</v>
      </c>
      <c r="J96" s="19">
        <v>4</v>
      </c>
      <c r="K96" s="19">
        <v>8</v>
      </c>
      <c r="L96" s="19">
        <v>8</v>
      </c>
      <c r="M96" s="19">
        <v>4</v>
      </c>
      <c r="N96" s="19">
        <v>5</v>
      </c>
      <c r="O96" s="19">
        <v>5</v>
      </c>
      <c r="P96" s="19">
        <v>7</v>
      </c>
      <c r="Q96" s="19">
        <v>4</v>
      </c>
      <c r="R96" s="19">
        <v>8</v>
      </c>
      <c r="S96" s="19">
        <v>3</v>
      </c>
      <c r="T96" s="19">
        <v>2</v>
      </c>
      <c r="U96" s="19">
        <v>3</v>
      </c>
      <c r="V96" s="19">
        <v>98</v>
      </c>
    </row>
    <row r="97" spans="1:22" x14ac:dyDescent="0.35">
      <c r="A97" s="4" t="s">
        <v>54</v>
      </c>
      <c r="B97" s="19">
        <v>6</v>
      </c>
      <c r="C97" s="19">
        <v>6</v>
      </c>
      <c r="D97" s="19">
        <v>5</v>
      </c>
      <c r="E97" s="19">
        <v>4</v>
      </c>
      <c r="F97" s="19">
        <v>5</v>
      </c>
      <c r="G97" s="19">
        <v>2</v>
      </c>
      <c r="H97" s="19">
        <v>4</v>
      </c>
      <c r="I97" s="19">
        <v>4</v>
      </c>
      <c r="J97" s="19">
        <v>2</v>
      </c>
      <c r="K97" s="19">
        <v>6</v>
      </c>
      <c r="L97" s="19">
        <v>7</v>
      </c>
      <c r="M97" s="19">
        <v>9</v>
      </c>
      <c r="N97" s="19">
        <v>4</v>
      </c>
      <c r="O97" s="19">
        <v>5</v>
      </c>
      <c r="P97" s="19">
        <v>1</v>
      </c>
      <c r="Q97" s="19">
        <v>2</v>
      </c>
      <c r="R97" s="19">
        <v>6</v>
      </c>
      <c r="S97" s="19">
        <v>7</v>
      </c>
      <c r="T97" s="19">
        <v>4</v>
      </c>
      <c r="U97" s="19">
        <v>4</v>
      </c>
      <c r="V97" s="19">
        <v>93</v>
      </c>
    </row>
    <row r="98" spans="1:22" x14ac:dyDescent="0.35">
      <c r="A98" s="4" t="s">
        <v>50</v>
      </c>
      <c r="B98" s="19">
        <v>7</v>
      </c>
      <c r="C98" s="19">
        <v>5</v>
      </c>
      <c r="D98" s="19">
        <v>3</v>
      </c>
      <c r="E98" s="19">
        <v>5</v>
      </c>
      <c r="F98" s="19">
        <v>5</v>
      </c>
      <c r="G98" s="19">
        <v>3</v>
      </c>
      <c r="H98" s="19">
        <v>4</v>
      </c>
      <c r="I98" s="19">
        <v>5</v>
      </c>
      <c r="J98" s="19">
        <v>6</v>
      </c>
      <c r="K98" s="19">
        <v>6</v>
      </c>
      <c r="L98" s="19">
        <v>2</v>
      </c>
      <c r="M98" s="19">
        <v>4</v>
      </c>
      <c r="N98" s="19">
        <v>6</v>
      </c>
      <c r="O98" s="19">
        <v>9</v>
      </c>
      <c r="P98" s="19">
        <v>5</v>
      </c>
      <c r="Q98" s="19">
        <v>3</v>
      </c>
      <c r="R98" s="19">
        <v>0</v>
      </c>
      <c r="S98" s="19">
        <v>4</v>
      </c>
      <c r="T98" s="19">
        <v>4</v>
      </c>
      <c r="U98" s="19">
        <v>7</v>
      </c>
      <c r="V98" s="19">
        <v>93</v>
      </c>
    </row>
    <row r="99" spans="1:22" x14ac:dyDescent="0.35">
      <c r="A99" s="4" t="s">
        <v>40</v>
      </c>
      <c r="B99" s="19">
        <v>7</v>
      </c>
      <c r="C99" s="19">
        <v>0</v>
      </c>
      <c r="D99" s="19">
        <v>6</v>
      </c>
      <c r="E99" s="19">
        <v>8</v>
      </c>
      <c r="F99" s="19">
        <v>7</v>
      </c>
      <c r="G99" s="19">
        <v>2</v>
      </c>
      <c r="H99" s="19">
        <v>10</v>
      </c>
      <c r="I99" s="19">
        <v>1</v>
      </c>
      <c r="J99" s="19">
        <v>5</v>
      </c>
      <c r="K99" s="19">
        <v>3</v>
      </c>
      <c r="L99" s="19">
        <v>3</v>
      </c>
      <c r="M99" s="19">
        <v>3</v>
      </c>
      <c r="N99" s="19">
        <v>3</v>
      </c>
      <c r="O99" s="19">
        <v>5</v>
      </c>
      <c r="P99" s="19">
        <v>4</v>
      </c>
      <c r="Q99" s="19">
        <v>1</v>
      </c>
      <c r="R99" s="19">
        <v>8</v>
      </c>
      <c r="S99" s="19">
        <v>3</v>
      </c>
      <c r="T99" s="19">
        <v>7</v>
      </c>
      <c r="U99" s="19">
        <v>3</v>
      </c>
      <c r="V99" s="19">
        <v>89</v>
      </c>
    </row>
    <row r="100" spans="1:22" x14ac:dyDescent="0.35">
      <c r="A100" s="4" t="s">
        <v>65</v>
      </c>
      <c r="B100" s="19">
        <v>53</v>
      </c>
      <c r="C100" s="19">
        <v>50</v>
      </c>
      <c r="D100" s="19">
        <v>56</v>
      </c>
      <c r="E100" s="19">
        <v>51</v>
      </c>
      <c r="F100" s="19">
        <v>50</v>
      </c>
      <c r="G100" s="19">
        <v>45</v>
      </c>
      <c r="H100" s="19">
        <v>49</v>
      </c>
      <c r="I100" s="19">
        <v>46</v>
      </c>
      <c r="J100" s="19">
        <v>43</v>
      </c>
      <c r="K100" s="19">
        <v>61</v>
      </c>
      <c r="L100" s="19">
        <v>51</v>
      </c>
      <c r="M100" s="19">
        <v>54</v>
      </c>
      <c r="N100" s="19">
        <v>50</v>
      </c>
      <c r="O100" s="19">
        <v>55</v>
      </c>
      <c r="P100" s="19">
        <v>47</v>
      </c>
      <c r="Q100" s="19">
        <v>46</v>
      </c>
      <c r="R100" s="19">
        <v>57</v>
      </c>
      <c r="S100" s="19">
        <v>46</v>
      </c>
      <c r="T100" s="19">
        <v>44</v>
      </c>
      <c r="U100" s="19">
        <v>46</v>
      </c>
      <c r="V100" s="19">
        <v>1000</v>
      </c>
    </row>
  </sheetData>
  <pageMargins left="0.7" right="0.7" top="0.75" bottom="0.75" header="0.3" footer="0.3"/>
  <pageSetup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9D906-A42D-4F74-A3A9-5163B79769A2}">
  <dimension ref="A1:B26"/>
  <sheetViews>
    <sheetView topLeftCell="A3" workbookViewId="0">
      <selection activeCell="A5" sqref="A5:B26"/>
    </sheetView>
  </sheetViews>
  <sheetFormatPr defaultRowHeight="14.5" x14ac:dyDescent="0.35"/>
  <cols>
    <col min="1" max="1" width="17.36328125" bestFit="1" customWidth="1"/>
    <col min="2" max="2" width="22.81640625" bestFit="1" customWidth="1"/>
    <col min="3" max="3" width="8.81640625" bestFit="1" customWidth="1"/>
    <col min="4" max="4" width="10.7265625" bestFit="1" customWidth="1"/>
  </cols>
  <sheetData>
    <row r="1" spans="1:2" x14ac:dyDescent="0.35">
      <c r="A1" t="s">
        <v>74</v>
      </c>
    </row>
    <row r="2" spans="1:2" x14ac:dyDescent="0.35">
      <c r="A2" s="19">
        <v>3.45</v>
      </c>
    </row>
    <row r="5" spans="1:2" x14ac:dyDescent="0.35">
      <c r="A5" s="3" t="s">
        <v>64</v>
      </c>
      <c r="B5" t="s">
        <v>63</v>
      </c>
    </row>
    <row r="6" spans="1:2" x14ac:dyDescent="0.35">
      <c r="A6" s="4" t="s">
        <v>49</v>
      </c>
      <c r="B6" s="19">
        <v>34.255319148936174</v>
      </c>
    </row>
    <row r="7" spans="1:2" x14ac:dyDescent="0.35">
      <c r="A7" s="4" t="s">
        <v>36</v>
      </c>
      <c r="B7" s="19">
        <v>32.803278688524593</v>
      </c>
    </row>
    <row r="8" spans="1:2" x14ac:dyDescent="0.35">
      <c r="A8" s="4" t="s">
        <v>55</v>
      </c>
      <c r="B8" s="19">
        <v>32.255813953488371</v>
      </c>
    </row>
    <row r="9" spans="1:2" x14ac:dyDescent="0.35">
      <c r="A9" s="4" t="s">
        <v>57</v>
      </c>
      <c r="B9" s="19">
        <v>31.254901960784313</v>
      </c>
    </row>
    <row r="10" spans="1:2" x14ac:dyDescent="0.35">
      <c r="A10" s="4" t="s">
        <v>56</v>
      </c>
      <c r="B10" s="19">
        <v>31.065217391304348</v>
      </c>
    </row>
    <row r="11" spans="1:2" x14ac:dyDescent="0.35">
      <c r="A11" s="4" t="s">
        <v>58</v>
      </c>
      <c r="B11" s="19">
        <v>30.413043478260871</v>
      </c>
    </row>
    <row r="12" spans="1:2" x14ac:dyDescent="0.35">
      <c r="A12" s="4" t="s">
        <v>47</v>
      </c>
      <c r="B12" s="19">
        <v>30.4</v>
      </c>
    </row>
    <row r="13" spans="1:2" x14ac:dyDescent="0.35">
      <c r="A13" s="4" t="s">
        <v>39</v>
      </c>
      <c r="B13" s="19">
        <v>30.318181818181817</v>
      </c>
    </row>
    <row r="14" spans="1:2" x14ac:dyDescent="0.35">
      <c r="A14" s="4" t="s">
        <v>20</v>
      </c>
      <c r="B14" s="19">
        <v>30.254545454545454</v>
      </c>
    </row>
    <row r="15" spans="1:2" x14ac:dyDescent="0.35">
      <c r="A15" s="4" t="s">
        <v>34</v>
      </c>
      <c r="B15" s="19">
        <v>29.555555555555557</v>
      </c>
    </row>
    <row r="16" spans="1:2" x14ac:dyDescent="0.35">
      <c r="A16" s="4" t="s">
        <v>59</v>
      </c>
      <c r="B16" s="19">
        <v>29.549019607843139</v>
      </c>
    </row>
    <row r="17" spans="1:2" x14ac:dyDescent="0.35">
      <c r="A17" s="4" t="s">
        <v>42</v>
      </c>
      <c r="B17" s="19">
        <v>29.491228070175438</v>
      </c>
    </row>
    <row r="18" spans="1:2" x14ac:dyDescent="0.35">
      <c r="A18" s="4" t="s">
        <v>53</v>
      </c>
      <c r="B18" s="19">
        <v>28.608695652173914</v>
      </c>
    </row>
    <row r="19" spans="1:2" x14ac:dyDescent="0.35">
      <c r="A19" s="4" t="s">
        <v>29</v>
      </c>
      <c r="B19" s="19">
        <v>28.282608695652176</v>
      </c>
    </row>
    <row r="20" spans="1:2" x14ac:dyDescent="0.35">
      <c r="A20" s="4" t="s">
        <v>52</v>
      </c>
      <c r="B20" s="19">
        <v>28.08</v>
      </c>
    </row>
    <row r="21" spans="1:2" x14ac:dyDescent="0.35">
      <c r="A21" s="4" t="s">
        <v>44</v>
      </c>
      <c r="B21" s="19">
        <v>27.962264150943398</v>
      </c>
    </row>
    <row r="22" spans="1:2" x14ac:dyDescent="0.35">
      <c r="A22" s="4" t="s">
        <v>48</v>
      </c>
      <c r="B22" s="19">
        <v>27.946428571428573</v>
      </c>
    </row>
    <row r="23" spans="1:2" x14ac:dyDescent="0.35">
      <c r="A23" s="4" t="s">
        <v>51</v>
      </c>
      <c r="B23" s="19">
        <v>27.74074074074074</v>
      </c>
    </row>
    <row r="24" spans="1:2" x14ac:dyDescent="0.35">
      <c r="A24" s="4" t="s">
        <v>38</v>
      </c>
      <c r="B24" s="19">
        <v>27.22</v>
      </c>
    </row>
    <row r="25" spans="1:2" x14ac:dyDescent="0.35">
      <c r="A25" s="4" t="s">
        <v>25</v>
      </c>
      <c r="B25" s="19">
        <v>26.387755102040817</v>
      </c>
    </row>
    <row r="26" spans="1:2" x14ac:dyDescent="0.35">
      <c r="A26" s="4" t="s">
        <v>65</v>
      </c>
      <c r="B26" s="19">
        <v>29.675999999999998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C3173-488B-40AE-80A8-4F95BCFDF908}">
  <dimension ref="A1:AA40"/>
  <sheetViews>
    <sheetView showGridLines="0" topLeftCell="A8" zoomScale="65" zoomScaleNormal="66" workbookViewId="0">
      <selection activeCell="T8" sqref="T8"/>
    </sheetView>
  </sheetViews>
  <sheetFormatPr defaultRowHeight="14.5" x14ac:dyDescent="0.35"/>
  <cols>
    <col min="1" max="1" width="9" style="5" customWidth="1"/>
    <col min="2" max="2" width="17.81640625" style="5" bestFit="1" customWidth="1"/>
    <col min="3" max="3" width="7" style="5" customWidth="1"/>
    <col min="4" max="26" width="8.7265625" style="5"/>
    <col min="27" max="27" width="0" style="5" hidden="1" customWidth="1"/>
    <col min="28" max="16384" width="8.7265625" style="5"/>
  </cols>
  <sheetData>
    <row r="1" spans="1:27" ht="14.5" customHeight="1" x14ac:dyDescent="0.35">
      <c r="A1" s="12"/>
      <c r="B1" s="12"/>
      <c r="C1" s="12"/>
      <c r="D1"/>
      <c r="E1"/>
      <c r="F1"/>
      <c r="G1"/>
      <c r="H1"/>
      <c r="I1"/>
      <c r="J1"/>
      <c r="K1"/>
      <c r="L1"/>
      <c r="M1"/>
      <c r="N1"/>
      <c r="O1"/>
      <c r="P1"/>
      <c r="Q1"/>
      <c r="R1"/>
      <c r="S1"/>
      <c r="T1"/>
    </row>
    <row r="2" spans="1:27" ht="26" x14ac:dyDescent="0.6">
      <c r="A2" s="12"/>
      <c r="B2" s="14"/>
      <c r="C2" s="12"/>
      <c r="D2"/>
      <c r="E2"/>
      <c r="F2"/>
      <c r="G2"/>
      <c r="H2"/>
      <c r="I2"/>
      <c r="J2"/>
      <c r="K2"/>
      <c r="L2"/>
      <c r="M2"/>
      <c r="N2"/>
      <c r="O2"/>
      <c r="P2"/>
      <c r="Q2"/>
      <c r="R2"/>
      <c r="S2"/>
      <c r="T2"/>
    </row>
    <row r="3" spans="1:27" ht="26" customHeight="1" x14ac:dyDescent="0.35">
      <c r="A3" s="25" t="s">
        <v>66</v>
      </c>
      <c r="B3" s="25"/>
      <c r="C3" s="25"/>
      <c r="D3"/>
      <c r="E3"/>
      <c r="F3"/>
      <c r="G3"/>
      <c r="H3"/>
      <c r="I3"/>
      <c r="J3"/>
      <c r="K3"/>
      <c r="L3"/>
      <c r="M3"/>
      <c r="N3"/>
      <c r="O3"/>
      <c r="P3"/>
      <c r="Q3"/>
      <c r="R3"/>
      <c r="S3"/>
      <c r="T3"/>
    </row>
    <row r="4" spans="1:27" ht="26" customHeight="1" x14ac:dyDescent="0.35">
      <c r="A4" s="25"/>
      <c r="B4" s="25"/>
      <c r="C4" s="25"/>
      <c r="D4"/>
      <c r="E4"/>
      <c r="F4"/>
      <c r="G4"/>
      <c r="H4"/>
      <c r="I4"/>
      <c r="J4"/>
      <c r="K4"/>
      <c r="L4"/>
      <c r="M4"/>
      <c r="N4"/>
      <c r="O4"/>
      <c r="P4"/>
      <c r="Q4"/>
      <c r="R4"/>
      <c r="S4"/>
      <c r="T4"/>
      <c r="AA4" s="5">
        <f>GETPIVOTDATA("ticket_amount",pivot!$A$3)</f>
        <v>29676</v>
      </c>
    </row>
    <row r="5" spans="1:27" ht="15.5" x14ac:dyDescent="0.35">
      <c r="A5" s="26" t="s">
        <v>67</v>
      </c>
      <c r="B5" s="26"/>
      <c r="C5" s="26"/>
      <c r="D5" s="32" t="s">
        <v>75</v>
      </c>
      <c r="E5" s="33"/>
      <c r="F5" s="33"/>
      <c r="G5" s="33"/>
      <c r="H5" s="33"/>
      <c r="I5" s="33"/>
      <c r="J5" s="33"/>
      <c r="K5" s="33"/>
      <c r="L5" s="33"/>
      <c r="M5" s="33"/>
      <c r="N5" s="33"/>
      <c r="O5" s="33"/>
      <c r="P5" s="33"/>
      <c r="Q5" s="33"/>
      <c r="R5" s="33"/>
      <c r="S5" s="33"/>
      <c r="T5" s="33"/>
      <c r="AA5" s="5">
        <f>GETPIVOTDATA("booking_id",pivot!$A$6)</f>
        <v>1000</v>
      </c>
    </row>
    <row r="6" spans="1:27" x14ac:dyDescent="0.35">
      <c r="A6" s="26"/>
      <c r="B6" s="26"/>
      <c r="C6" s="26"/>
      <c r="AA6" s="5">
        <f>GETPIVOTDATA("seats_booked",pivot!$A$10)</f>
        <v>3450</v>
      </c>
    </row>
    <row r="7" spans="1:27" x14ac:dyDescent="0.35">
      <c r="A7" s="27" t="s">
        <v>68</v>
      </c>
      <c r="B7" s="27"/>
      <c r="C7" s="27"/>
      <c r="AA7" s="5">
        <f>GETPIVOTDATA("ticket_amount",pivot!$A$13)</f>
        <v>29.675999999999998</v>
      </c>
    </row>
    <row r="8" spans="1:27" ht="21" customHeight="1" x14ac:dyDescent="0.35">
      <c r="A8" s="27"/>
      <c r="B8" s="27"/>
      <c r="C8" s="27"/>
    </row>
    <row r="9" spans="1:27" x14ac:dyDescent="0.35">
      <c r="A9" s="12"/>
      <c r="B9" s="12"/>
      <c r="C9" s="12"/>
    </row>
    <row r="10" spans="1:27" x14ac:dyDescent="0.35">
      <c r="A10" s="12"/>
      <c r="B10" s="12"/>
      <c r="C10" s="12"/>
    </row>
    <row r="11" spans="1:27" ht="21" x14ac:dyDescent="0.5">
      <c r="A11" s="28"/>
      <c r="B11" s="34"/>
      <c r="C11" s="34"/>
    </row>
    <row r="12" spans="1:27" x14ac:dyDescent="0.35">
      <c r="A12" s="12"/>
      <c r="B12" s="12"/>
      <c r="C12" s="12"/>
    </row>
    <row r="13" spans="1:27" x14ac:dyDescent="0.35">
      <c r="A13" s="12"/>
      <c r="B13" s="12"/>
      <c r="C13" s="12"/>
    </row>
    <row r="14" spans="1:27" ht="21" x14ac:dyDescent="0.5">
      <c r="A14" s="28"/>
      <c r="B14" s="29"/>
      <c r="C14" s="29"/>
    </row>
    <row r="15" spans="1:27" x14ac:dyDescent="0.35">
      <c r="A15" s="12"/>
      <c r="B15" s="12"/>
      <c r="C15" s="12"/>
    </row>
    <row r="16" spans="1:27" ht="21" x14ac:dyDescent="0.5">
      <c r="A16" s="28" t="s">
        <v>69</v>
      </c>
      <c r="B16" s="35"/>
      <c r="C16" s="35"/>
    </row>
    <row r="17" spans="1:3" ht="21" x14ac:dyDescent="0.5">
      <c r="A17" s="28"/>
      <c r="B17" s="29"/>
      <c r="C17" s="29"/>
    </row>
    <row r="18" spans="1:3" x14ac:dyDescent="0.35">
      <c r="A18" s="12"/>
      <c r="B18" s="12"/>
      <c r="C18" s="12"/>
    </row>
    <row r="19" spans="1:3" ht="21" x14ac:dyDescent="0.5">
      <c r="A19" s="28" t="s">
        <v>72</v>
      </c>
      <c r="B19" s="35"/>
      <c r="C19" s="35"/>
    </row>
    <row r="20" spans="1:3" ht="16" x14ac:dyDescent="0.4">
      <c r="A20" s="30"/>
      <c r="B20" s="31"/>
      <c r="C20" s="31"/>
    </row>
    <row r="21" spans="1:3" x14ac:dyDescent="0.35">
      <c r="A21" s="12"/>
      <c r="B21" s="12"/>
      <c r="C21" s="12"/>
    </row>
    <row r="22" spans="1:3" ht="21" x14ac:dyDescent="0.5">
      <c r="A22" s="28" t="s">
        <v>70</v>
      </c>
      <c r="B22" s="35"/>
      <c r="C22" s="35"/>
    </row>
    <row r="23" spans="1:3" ht="16" x14ac:dyDescent="0.4">
      <c r="A23" s="30"/>
      <c r="B23" s="31"/>
      <c r="C23" s="31"/>
    </row>
    <row r="24" spans="1:3" x14ac:dyDescent="0.35">
      <c r="A24" s="12"/>
      <c r="B24" s="12"/>
      <c r="C24" s="12"/>
    </row>
    <row r="25" spans="1:3" x14ac:dyDescent="0.35">
      <c r="A25" s="12"/>
      <c r="B25" s="12"/>
      <c r="C25" s="12"/>
    </row>
    <row r="26" spans="1:3" x14ac:dyDescent="0.35">
      <c r="A26" s="12"/>
      <c r="B26" s="12"/>
      <c r="C26" s="12"/>
    </row>
    <row r="27" spans="1:3" x14ac:dyDescent="0.35">
      <c r="A27" s="12"/>
      <c r="B27" s="12"/>
      <c r="C27" s="12"/>
    </row>
    <row r="28" spans="1:3" x14ac:dyDescent="0.35">
      <c r="A28" s="12"/>
      <c r="B28" s="12"/>
      <c r="C28" s="12"/>
    </row>
    <row r="29" spans="1:3" x14ac:dyDescent="0.35">
      <c r="A29" s="12"/>
      <c r="B29" s="12"/>
      <c r="C29" s="12"/>
    </row>
    <row r="30" spans="1:3" x14ac:dyDescent="0.35">
      <c r="A30" s="12"/>
      <c r="B30" s="12"/>
      <c r="C30" s="12"/>
    </row>
    <row r="31" spans="1:3" x14ac:dyDescent="0.35">
      <c r="A31" s="12"/>
      <c r="B31" s="12"/>
      <c r="C31" s="12"/>
    </row>
    <row r="32" spans="1:3" x14ac:dyDescent="0.35">
      <c r="A32" s="12"/>
      <c r="B32" s="12"/>
      <c r="C32" s="12"/>
    </row>
    <row r="33" spans="1:3" x14ac:dyDescent="0.35">
      <c r="A33" s="12"/>
      <c r="B33" s="12"/>
      <c r="C33" s="12"/>
    </row>
    <row r="34" spans="1:3" x14ac:dyDescent="0.35">
      <c r="A34" s="12"/>
      <c r="B34" s="12"/>
      <c r="C34" s="12"/>
    </row>
    <row r="35" spans="1:3" x14ac:dyDescent="0.35">
      <c r="A35" s="12"/>
      <c r="B35" s="12"/>
      <c r="C35" s="12"/>
    </row>
    <row r="36" spans="1:3" x14ac:dyDescent="0.35">
      <c r="A36" s="12"/>
      <c r="B36" s="12"/>
      <c r="C36" s="12"/>
    </row>
    <row r="37" spans="1:3" x14ac:dyDescent="0.35">
      <c r="A37" s="12"/>
      <c r="B37" s="12"/>
      <c r="C37" s="12"/>
    </row>
    <row r="38" spans="1:3" x14ac:dyDescent="0.35">
      <c r="A38" s="12"/>
      <c r="B38" s="12"/>
      <c r="C38" s="12"/>
    </row>
    <row r="39" spans="1:3" x14ac:dyDescent="0.35">
      <c r="A39" s="12"/>
      <c r="B39" s="12"/>
      <c r="C39" s="12"/>
    </row>
    <row r="40" spans="1:3" x14ac:dyDescent="0.35">
      <c r="A40" s="12"/>
      <c r="B40" s="12"/>
      <c r="C40" s="12"/>
    </row>
  </sheetData>
  <mergeCells count="12">
    <mergeCell ref="A23:C23"/>
    <mergeCell ref="D5:T5"/>
    <mergeCell ref="A11:C11"/>
    <mergeCell ref="A14:C14"/>
    <mergeCell ref="A22:C22"/>
    <mergeCell ref="A19:C19"/>
    <mergeCell ref="A16:C16"/>
    <mergeCell ref="A3:C4"/>
    <mergeCell ref="A5:C6"/>
    <mergeCell ref="A7:C8"/>
    <mergeCell ref="A17:C17"/>
    <mergeCell ref="A20:C20"/>
  </mergeCells>
  <hyperlinks>
    <hyperlink ref="A19:C19" location="BOOKINGS!A1" display="BOOKINGS" xr:uid="{D7D5A7CF-15EA-4EA0-AB0F-55404AEE2D38}"/>
    <hyperlink ref="A22:C22" location="MOVIES!A1" display="MOVIES" xr:uid="{240752E3-3DF5-45FF-9B87-3065D1BA1CF3}"/>
    <hyperlink ref="A16:C16" location="overview!A1" display="OVERVIEW" xr:uid="{6DB8E004-4564-4ED6-9AF0-8F515E1E8134}"/>
  </hyperlink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E63F3-18E4-471F-BAB5-B28E13FDB81B}">
  <dimension ref="A1:X40"/>
  <sheetViews>
    <sheetView showGridLines="0" zoomScale="72" workbookViewId="0">
      <selection activeCell="G29" sqref="G29"/>
    </sheetView>
  </sheetViews>
  <sheetFormatPr defaultRowHeight="14.5" x14ac:dyDescent="0.35"/>
  <cols>
    <col min="1" max="3" width="8.7265625" style="16"/>
    <col min="24" max="24" width="8.7265625" hidden="1" customWidth="1"/>
  </cols>
  <sheetData>
    <row r="1" spans="1:24" x14ac:dyDescent="0.35">
      <c r="A1" s="22"/>
      <c r="B1" s="22"/>
      <c r="C1" s="22"/>
    </row>
    <row r="2" spans="1:24" x14ac:dyDescent="0.35">
      <c r="A2" s="22"/>
      <c r="B2" s="23"/>
      <c r="C2" s="22"/>
      <c r="X2" t="str">
        <f>pivotM!A4</f>
        <v>Magic Planet</v>
      </c>
    </row>
    <row r="3" spans="1:24" ht="14.5" customHeight="1" x14ac:dyDescent="0.35">
      <c r="A3" s="43" t="s">
        <v>66</v>
      </c>
      <c r="B3" s="43"/>
      <c r="C3" s="43"/>
      <c r="X3">
        <f>GETPIVOTDATA("ticket_amount",pivotM!$A$3,"movie_name","Magic Planet")</f>
        <v>2001</v>
      </c>
    </row>
    <row r="4" spans="1:24" ht="14.5" customHeight="1" x14ac:dyDescent="0.35">
      <c r="A4" s="43"/>
      <c r="B4" s="43"/>
      <c r="C4" s="43"/>
    </row>
    <row r="5" spans="1:24" ht="21" customHeight="1" x14ac:dyDescent="0.35">
      <c r="A5" s="46" t="s">
        <v>67</v>
      </c>
      <c r="B5" s="46"/>
      <c r="C5" s="46"/>
    </row>
    <row r="6" spans="1:24" ht="18.5" customHeight="1" x14ac:dyDescent="0.35">
      <c r="A6" s="45" t="s">
        <v>68</v>
      </c>
      <c r="B6" s="45"/>
      <c r="C6" s="45"/>
    </row>
    <row r="7" spans="1:24" ht="14.5" customHeight="1" x14ac:dyDescent="0.35">
      <c r="A7" s="45"/>
      <c r="B7" s="45"/>
      <c r="C7" s="45"/>
    </row>
    <row r="8" spans="1:24" ht="14.5" customHeight="1" x14ac:dyDescent="0.35">
      <c r="A8" s="45"/>
      <c r="B8" s="45"/>
      <c r="C8" s="45"/>
      <c r="D8" s="17"/>
    </row>
    <row r="9" spans="1:24" ht="21" x14ac:dyDescent="0.5">
      <c r="A9" s="24"/>
      <c r="B9" s="24"/>
      <c r="C9" s="24"/>
    </row>
    <row r="10" spans="1:24" ht="21" x14ac:dyDescent="0.5">
      <c r="A10" s="24"/>
      <c r="B10" s="24"/>
      <c r="C10" s="24"/>
    </row>
    <row r="11" spans="1:24" ht="21" x14ac:dyDescent="0.5">
      <c r="A11" s="24"/>
      <c r="B11" s="24"/>
      <c r="C11" s="24"/>
    </row>
    <row r="12" spans="1:24" ht="21" x14ac:dyDescent="0.5">
      <c r="A12" s="44" t="s">
        <v>69</v>
      </c>
      <c r="B12" s="39"/>
      <c r="C12" s="39"/>
    </row>
    <row r="13" spans="1:24" ht="21" x14ac:dyDescent="0.5">
      <c r="A13" s="24"/>
      <c r="B13" s="24"/>
      <c r="C13" s="24"/>
    </row>
    <row r="14" spans="1:24" ht="21" x14ac:dyDescent="0.5">
      <c r="A14" s="38"/>
      <c r="B14" s="39"/>
      <c r="C14" s="39"/>
    </row>
    <row r="15" spans="1:24" ht="21" x14ac:dyDescent="0.5">
      <c r="A15" s="44" t="s">
        <v>72</v>
      </c>
      <c r="B15" s="39"/>
      <c r="C15" s="39"/>
    </row>
    <row r="16" spans="1:24" ht="21" x14ac:dyDescent="0.5">
      <c r="A16" s="24"/>
      <c r="B16" s="24"/>
      <c r="C16" s="24"/>
    </row>
    <row r="17" spans="1:3" ht="21" x14ac:dyDescent="0.5">
      <c r="A17" s="38"/>
      <c r="B17" s="40"/>
      <c r="C17" s="40"/>
    </row>
    <row r="18" spans="1:3" ht="21" x14ac:dyDescent="0.5">
      <c r="A18" s="44" t="s">
        <v>70</v>
      </c>
      <c r="B18" s="39"/>
      <c r="C18" s="39"/>
    </row>
    <row r="19" spans="1:3" x14ac:dyDescent="0.35">
      <c r="A19" s="22"/>
      <c r="B19" s="22"/>
      <c r="C19" s="22"/>
    </row>
    <row r="20" spans="1:3" x14ac:dyDescent="0.35">
      <c r="A20" s="41"/>
      <c r="B20" s="42"/>
      <c r="C20" s="42"/>
    </row>
    <row r="21" spans="1:3" x14ac:dyDescent="0.35">
      <c r="A21" s="22"/>
      <c r="B21" s="22"/>
      <c r="C21" s="22"/>
    </row>
    <row r="22" spans="1:3" x14ac:dyDescent="0.35">
      <c r="A22" s="22"/>
      <c r="B22" s="22"/>
      <c r="C22" s="22"/>
    </row>
    <row r="23" spans="1:3" x14ac:dyDescent="0.35">
      <c r="A23" s="22"/>
      <c r="B23" s="22"/>
      <c r="C23" s="22"/>
    </row>
    <row r="24" spans="1:3" x14ac:dyDescent="0.35">
      <c r="A24" s="22"/>
      <c r="B24" s="22"/>
      <c r="C24" s="22"/>
    </row>
    <row r="25" spans="1:3" x14ac:dyDescent="0.35">
      <c r="A25" s="22"/>
      <c r="B25" s="22"/>
      <c r="C25" s="22"/>
    </row>
    <row r="26" spans="1:3" x14ac:dyDescent="0.35">
      <c r="A26" s="36"/>
      <c r="B26" s="37"/>
      <c r="C26" s="37"/>
    </row>
    <row r="27" spans="1:3" x14ac:dyDescent="0.35">
      <c r="A27" s="36"/>
      <c r="B27" s="36"/>
      <c r="C27" s="36"/>
    </row>
    <row r="28" spans="1:3" x14ac:dyDescent="0.35">
      <c r="A28" s="36"/>
      <c r="B28" s="36"/>
      <c r="C28" s="36"/>
    </row>
    <row r="29" spans="1:3" x14ac:dyDescent="0.35">
      <c r="A29" s="36"/>
      <c r="B29" s="36"/>
      <c r="C29" s="36"/>
    </row>
    <row r="30" spans="1:3" x14ac:dyDescent="0.35">
      <c r="A30"/>
      <c r="B30"/>
      <c r="C30"/>
    </row>
    <row r="31" spans="1:3" x14ac:dyDescent="0.35">
      <c r="A31"/>
      <c r="B31"/>
      <c r="C31"/>
    </row>
    <row r="32" spans="1:3" x14ac:dyDescent="0.35">
      <c r="A32"/>
      <c r="B32"/>
      <c r="C32"/>
    </row>
    <row r="33" customFormat="1" x14ac:dyDescent="0.35"/>
    <row r="34" customFormat="1" x14ac:dyDescent="0.35"/>
    <row r="35" customFormat="1" x14ac:dyDescent="0.35"/>
    <row r="36" customFormat="1" x14ac:dyDescent="0.35"/>
    <row r="37" customFormat="1" x14ac:dyDescent="0.35"/>
    <row r="38" customFormat="1" x14ac:dyDescent="0.35"/>
    <row r="39" customFormat="1" x14ac:dyDescent="0.35"/>
    <row r="40" customFormat="1" x14ac:dyDescent="0.35"/>
  </sheetData>
  <mergeCells count="13">
    <mergeCell ref="A3:C4"/>
    <mergeCell ref="A15:C15"/>
    <mergeCell ref="A12:C12"/>
    <mergeCell ref="A18:C18"/>
    <mergeCell ref="A6:C8"/>
    <mergeCell ref="A5:C5"/>
    <mergeCell ref="A27:C27"/>
    <mergeCell ref="A28:C28"/>
    <mergeCell ref="A29:C29"/>
    <mergeCell ref="A26:C26"/>
    <mergeCell ref="A14:C14"/>
    <mergeCell ref="A17:C17"/>
    <mergeCell ref="A20:C20"/>
  </mergeCells>
  <hyperlinks>
    <hyperlink ref="A18" location="BOOKINGS!A1" display="BOOKINGS!A1" xr:uid="{94AFE369-C5AE-4E06-9161-9C60F86A4B91}"/>
    <hyperlink ref="A12:C12" location="overview!A1" display="OVERVIEW" xr:uid="{D1D6D95E-8B0D-4699-AD3F-5C07D874EAB7}"/>
    <hyperlink ref="A15:C15" location="BOOKINGS!A1" display="BOOKINGS" xr:uid="{C1A5D618-B2C4-48EE-84B7-EB11B0A6F462}"/>
    <hyperlink ref="A18:C18" location="MOVIES!A1" display="MOVIES" xr:uid="{9061489F-8684-4801-9A1B-56AF3E13FA14}"/>
  </hyperlink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5C6AA-9356-46EA-8005-059334DF2C6E}">
  <dimension ref="A1:W30"/>
  <sheetViews>
    <sheetView showGridLines="0" tabSelected="1" zoomScale="84" workbookViewId="0">
      <selection activeCell="H15" sqref="H15"/>
    </sheetView>
  </sheetViews>
  <sheetFormatPr defaultRowHeight="14.5" x14ac:dyDescent="0.35"/>
  <cols>
    <col min="1" max="1" width="5" customWidth="1"/>
    <col min="2" max="2" width="9.7265625" customWidth="1"/>
    <col min="3" max="3" width="6.453125" customWidth="1"/>
    <col min="23" max="23" width="0" hidden="1" customWidth="1"/>
  </cols>
  <sheetData>
    <row r="1" spans="1:23" x14ac:dyDescent="0.35">
      <c r="A1" s="6"/>
      <c r="B1" s="6"/>
      <c r="C1" s="6"/>
      <c r="D1" s="5"/>
      <c r="E1" s="5"/>
      <c r="F1" s="5"/>
      <c r="G1" s="5"/>
      <c r="H1" s="5"/>
      <c r="I1" s="5"/>
      <c r="J1" s="5"/>
      <c r="K1" s="5"/>
      <c r="L1" s="5"/>
      <c r="M1" s="5"/>
      <c r="N1" s="5"/>
      <c r="O1" s="5"/>
      <c r="P1" s="5"/>
      <c r="Q1" s="5"/>
      <c r="R1" s="5"/>
      <c r="S1" s="5"/>
      <c r="T1" s="5"/>
      <c r="U1" s="5"/>
      <c r="W1">
        <f>GETPIVOTDATA("seats_booked",pivot!$A$10)</f>
        <v>3450</v>
      </c>
    </row>
    <row r="2" spans="1:23" ht="21" x14ac:dyDescent="0.5">
      <c r="A2" s="6"/>
      <c r="B2" s="7" t="s">
        <v>66</v>
      </c>
      <c r="C2" s="6"/>
      <c r="D2" s="5"/>
      <c r="E2" s="5"/>
      <c r="F2" s="5"/>
      <c r="G2" s="5"/>
      <c r="H2" s="5"/>
      <c r="I2" s="5"/>
      <c r="J2" s="5"/>
      <c r="K2" s="5"/>
      <c r="L2" s="5"/>
      <c r="M2" s="5"/>
      <c r="N2" s="5"/>
      <c r="O2" s="5"/>
      <c r="P2" s="5"/>
      <c r="Q2" s="5"/>
      <c r="R2" s="5"/>
      <c r="S2" s="5"/>
      <c r="T2" s="5"/>
      <c r="U2" s="5"/>
      <c r="W2">
        <f>GETPIVOTDATA("seats_booked",pivotb!$A$1)</f>
        <v>3.45</v>
      </c>
    </row>
    <row r="3" spans="1:23" ht="21" x14ac:dyDescent="0.5">
      <c r="A3" s="6"/>
      <c r="B3" s="7" t="s">
        <v>72</v>
      </c>
      <c r="C3" s="6"/>
      <c r="D3" s="5"/>
      <c r="E3" s="5"/>
      <c r="F3" s="5"/>
      <c r="G3" s="5"/>
      <c r="H3" s="5"/>
      <c r="I3" s="5"/>
      <c r="J3" s="5"/>
      <c r="K3" s="5"/>
      <c r="L3" s="5"/>
      <c r="M3" s="5"/>
      <c r="N3" s="5"/>
      <c r="O3" s="5"/>
      <c r="P3" s="5"/>
      <c r="Q3" s="5"/>
      <c r="R3" s="5"/>
      <c r="S3" s="5"/>
      <c r="T3" s="5"/>
      <c r="U3" s="5"/>
      <c r="W3" t="str">
        <f>pivot!A147</f>
        <v>Thursday</v>
      </c>
    </row>
    <row r="4" spans="1:23" ht="16" x14ac:dyDescent="0.4">
      <c r="A4" s="6"/>
      <c r="B4" s="8" t="s">
        <v>73</v>
      </c>
      <c r="C4" s="6"/>
      <c r="D4" s="13"/>
      <c r="E4" s="13"/>
      <c r="F4" s="13"/>
      <c r="G4" s="13"/>
      <c r="H4" s="13"/>
      <c r="I4" s="13"/>
      <c r="J4" s="13"/>
      <c r="K4" s="13"/>
      <c r="L4" s="13"/>
      <c r="M4" s="13"/>
      <c r="N4" s="13"/>
      <c r="O4" s="13"/>
      <c r="P4" s="13"/>
      <c r="Q4" s="13"/>
      <c r="R4" s="13"/>
      <c r="S4" s="13"/>
      <c r="T4" s="5"/>
      <c r="U4" s="5"/>
    </row>
    <row r="5" spans="1:23" x14ac:dyDescent="0.35">
      <c r="A5" s="6"/>
      <c r="B5" s="6"/>
      <c r="C5" s="6"/>
      <c r="D5" s="13"/>
      <c r="E5" s="13"/>
      <c r="F5" s="13"/>
      <c r="G5" s="13"/>
      <c r="H5" s="13"/>
      <c r="I5" s="13"/>
      <c r="J5" s="13"/>
      <c r="K5" s="13"/>
      <c r="L5" s="13"/>
      <c r="M5" s="13"/>
      <c r="N5" s="13"/>
      <c r="O5" s="13"/>
      <c r="P5" s="13"/>
      <c r="Q5" s="13"/>
      <c r="R5" s="13"/>
      <c r="S5" s="13"/>
      <c r="T5" s="5"/>
      <c r="U5" s="5"/>
    </row>
    <row r="6" spans="1:23" x14ac:dyDescent="0.35">
      <c r="A6" s="6"/>
      <c r="B6" s="6"/>
      <c r="C6" s="6"/>
      <c r="D6" s="13"/>
      <c r="E6" s="13"/>
      <c r="F6" s="13"/>
      <c r="G6" s="13"/>
      <c r="H6" s="13"/>
      <c r="I6" s="13"/>
      <c r="J6" s="13"/>
      <c r="K6" s="13"/>
      <c r="L6" s="13"/>
      <c r="M6" s="13"/>
      <c r="N6" s="13"/>
      <c r="O6" s="13"/>
      <c r="P6" s="13"/>
      <c r="Q6" s="13"/>
      <c r="R6" s="13"/>
      <c r="S6" s="13"/>
      <c r="T6" s="5"/>
    </row>
    <row r="7" spans="1:23" x14ac:dyDescent="0.35">
      <c r="A7" s="6"/>
      <c r="B7" s="6"/>
      <c r="C7" s="6"/>
      <c r="D7" s="13"/>
      <c r="E7" s="13"/>
      <c r="F7" s="13"/>
      <c r="G7" s="13"/>
      <c r="H7" s="13"/>
      <c r="I7" s="13"/>
      <c r="J7" s="13"/>
      <c r="K7" s="13"/>
      <c r="L7" s="13"/>
      <c r="M7" s="13"/>
      <c r="N7" s="13"/>
      <c r="O7" s="13"/>
      <c r="P7" s="13"/>
      <c r="Q7" s="13"/>
      <c r="R7" s="13"/>
      <c r="S7" s="13"/>
      <c r="T7" s="5"/>
    </row>
    <row r="8" spans="1:23" ht="16" x14ac:dyDescent="0.4">
      <c r="A8" s="47" t="s">
        <v>69</v>
      </c>
      <c r="B8" s="47"/>
      <c r="C8" s="47"/>
      <c r="D8" s="13"/>
      <c r="E8" s="13"/>
      <c r="F8" s="13"/>
      <c r="G8" s="13"/>
      <c r="H8" s="13"/>
      <c r="I8" s="13"/>
      <c r="J8" s="13"/>
      <c r="K8" s="13"/>
      <c r="L8" s="13"/>
      <c r="M8" s="13"/>
      <c r="N8" s="13"/>
      <c r="O8" s="13"/>
      <c r="P8" s="13"/>
      <c r="Q8" s="13"/>
      <c r="R8" s="13"/>
      <c r="S8" s="13"/>
      <c r="T8" s="5"/>
    </row>
    <row r="9" spans="1:23" x14ac:dyDescent="0.35">
      <c r="A9" s="6"/>
      <c r="B9" s="6"/>
      <c r="C9" s="6"/>
      <c r="D9" s="13"/>
      <c r="E9" s="15"/>
      <c r="F9" s="13"/>
      <c r="G9" s="13"/>
      <c r="H9" s="13"/>
      <c r="I9" s="13"/>
      <c r="J9" s="13"/>
      <c r="K9" s="13"/>
      <c r="L9" s="13"/>
      <c r="M9" s="13"/>
      <c r="N9" s="13"/>
      <c r="O9" s="13"/>
      <c r="P9" s="13"/>
      <c r="Q9" s="13"/>
      <c r="R9" s="13"/>
      <c r="S9" s="13"/>
      <c r="T9" s="5"/>
    </row>
    <row r="10" spans="1:23" x14ac:dyDescent="0.35">
      <c r="A10" s="6"/>
      <c r="B10" s="6"/>
      <c r="C10" s="6"/>
      <c r="D10" s="13"/>
      <c r="E10" s="13"/>
      <c r="F10" s="13"/>
      <c r="G10" s="13"/>
      <c r="H10" s="13"/>
      <c r="I10" s="13"/>
      <c r="J10" s="13"/>
      <c r="K10" s="13"/>
      <c r="L10" s="13"/>
      <c r="M10" s="13"/>
      <c r="N10" s="13"/>
      <c r="O10" s="13"/>
      <c r="P10" s="13"/>
      <c r="Q10" s="13"/>
      <c r="R10" s="13"/>
      <c r="S10" s="13"/>
      <c r="T10" s="5"/>
    </row>
    <row r="11" spans="1:23" ht="16" x14ac:dyDescent="0.4">
      <c r="A11" s="47" t="s">
        <v>72</v>
      </c>
      <c r="B11" s="48"/>
      <c r="C11" s="48"/>
      <c r="D11" s="13"/>
      <c r="E11" s="13"/>
      <c r="F11" s="13"/>
      <c r="G11" s="13"/>
      <c r="H11" s="13"/>
      <c r="I11" s="13"/>
      <c r="J11" s="13"/>
      <c r="K11" s="13"/>
      <c r="L11" s="13"/>
      <c r="M11" s="13"/>
      <c r="N11" s="13"/>
      <c r="O11" s="13"/>
      <c r="P11" s="13"/>
      <c r="Q11" s="13"/>
      <c r="R11" s="13"/>
      <c r="S11" s="13"/>
      <c r="T11" s="5"/>
    </row>
    <row r="12" spans="1:23" x14ac:dyDescent="0.35">
      <c r="A12" s="6"/>
      <c r="B12" s="6"/>
      <c r="C12" s="6"/>
      <c r="D12" s="13"/>
      <c r="E12" s="13"/>
      <c r="F12" s="13"/>
      <c r="G12" s="13"/>
      <c r="H12" s="13"/>
      <c r="I12" s="13"/>
      <c r="J12" s="13"/>
      <c r="K12" s="13"/>
      <c r="L12" s="13"/>
      <c r="M12" s="13"/>
      <c r="N12" s="13"/>
      <c r="O12" s="13"/>
      <c r="P12" s="13"/>
      <c r="Q12" s="13"/>
      <c r="R12" s="13"/>
      <c r="S12" s="13"/>
      <c r="T12" s="5"/>
    </row>
    <row r="13" spans="1:23" x14ac:dyDescent="0.35">
      <c r="A13" s="6"/>
      <c r="B13" s="6"/>
      <c r="C13" s="6"/>
      <c r="D13" s="13"/>
      <c r="E13" s="13"/>
      <c r="F13" s="13"/>
      <c r="G13" s="13"/>
      <c r="H13" s="13"/>
      <c r="I13" s="13"/>
      <c r="J13" s="13"/>
      <c r="K13" s="13"/>
      <c r="L13" s="13"/>
      <c r="M13" s="13"/>
      <c r="N13" s="13"/>
      <c r="O13" s="13"/>
      <c r="P13" s="13"/>
      <c r="Q13" s="13"/>
      <c r="R13" s="13"/>
      <c r="S13" s="13"/>
      <c r="T13" s="5"/>
    </row>
    <row r="14" spans="1:23" ht="16" x14ac:dyDescent="0.4">
      <c r="A14" s="47" t="s">
        <v>70</v>
      </c>
      <c r="B14" s="48"/>
      <c r="C14" s="48"/>
      <c r="D14" s="13"/>
      <c r="E14" s="13"/>
      <c r="F14" s="13"/>
      <c r="G14" s="13"/>
      <c r="H14" s="13"/>
      <c r="I14" s="13"/>
      <c r="J14" s="13"/>
      <c r="K14" s="13"/>
      <c r="L14" s="13"/>
      <c r="M14" s="13"/>
      <c r="N14" s="13"/>
      <c r="O14" s="13"/>
      <c r="P14" s="13"/>
      <c r="Q14" s="13"/>
      <c r="R14" s="13"/>
      <c r="S14" s="13"/>
      <c r="T14" s="5"/>
    </row>
    <row r="15" spans="1:23" x14ac:dyDescent="0.35">
      <c r="A15" s="6"/>
      <c r="B15" s="6"/>
      <c r="C15" s="6"/>
      <c r="D15" s="13"/>
      <c r="E15" s="13"/>
      <c r="F15" s="13"/>
      <c r="G15" s="13"/>
      <c r="H15" s="13"/>
      <c r="I15" s="13"/>
      <c r="J15" s="13"/>
      <c r="K15" s="13"/>
      <c r="L15" s="13"/>
      <c r="M15" s="13"/>
      <c r="N15" s="13"/>
      <c r="O15" s="13"/>
      <c r="P15" s="13"/>
      <c r="Q15" s="13"/>
      <c r="R15" s="13"/>
      <c r="S15" s="13"/>
      <c r="T15" s="5"/>
    </row>
    <row r="16" spans="1:23" x14ac:dyDescent="0.35">
      <c r="A16" s="6"/>
      <c r="B16" s="6"/>
      <c r="C16" s="6"/>
      <c r="D16" s="13"/>
      <c r="E16" s="13"/>
      <c r="F16" s="13"/>
      <c r="G16" s="13"/>
      <c r="H16" s="13"/>
      <c r="I16" s="13"/>
      <c r="J16" s="13"/>
      <c r="K16" s="13"/>
      <c r="L16" s="13"/>
      <c r="M16" s="13"/>
      <c r="N16" s="13"/>
      <c r="O16" s="13"/>
      <c r="P16" s="13"/>
      <c r="Q16" s="13"/>
      <c r="R16" s="13"/>
      <c r="S16" s="13"/>
      <c r="T16" s="5"/>
    </row>
    <row r="17" spans="1:20" ht="16" x14ac:dyDescent="0.4">
      <c r="A17" s="47"/>
      <c r="B17" s="48"/>
      <c r="C17" s="48"/>
      <c r="D17" s="13"/>
      <c r="E17" s="13"/>
      <c r="F17" s="13"/>
      <c r="G17" s="13"/>
      <c r="H17" s="13"/>
      <c r="I17" s="13"/>
      <c r="J17" s="13"/>
      <c r="K17" s="13"/>
      <c r="L17" s="13"/>
      <c r="M17" s="13"/>
      <c r="N17" s="13"/>
      <c r="O17" s="13"/>
      <c r="P17" s="13"/>
      <c r="Q17" s="13"/>
      <c r="R17" s="13"/>
      <c r="S17" s="13"/>
      <c r="T17" s="5"/>
    </row>
    <row r="18" spans="1:20" x14ac:dyDescent="0.35">
      <c r="A18" s="6"/>
      <c r="B18" s="6"/>
      <c r="C18" s="6"/>
      <c r="D18" s="13"/>
      <c r="E18" s="13"/>
      <c r="F18" s="13"/>
      <c r="G18" s="13"/>
      <c r="H18" s="13"/>
      <c r="I18" s="13"/>
      <c r="J18" s="13"/>
      <c r="K18" s="13"/>
      <c r="L18" s="13"/>
      <c r="M18" s="13"/>
      <c r="N18" s="13"/>
      <c r="O18" s="13"/>
      <c r="P18" s="13"/>
      <c r="Q18" s="13"/>
      <c r="R18" s="13"/>
      <c r="S18" s="13"/>
      <c r="T18" s="5"/>
    </row>
    <row r="19" spans="1:20" x14ac:dyDescent="0.35">
      <c r="A19" s="6"/>
      <c r="B19" s="6"/>
      <c r="C19" s="6"/>
      <c r="D19" s="13"/>
      <c r="E19" s="13"/>
      <c r="F19" s="13"/>
      <c r="G19" s="13"/>
      <c r="H19" s="13"/>
      <c r="I19" s="13"/>
      <c r="J19" s="13"/>
      <c r="K19" s="13"/>
      <c r="L19" s="13"/>
      <c r="M19" s="13"/>
      <c r="N19" s="13"/>
      <c r="O19" s="13"/>
      <c r="P19" s="13"/>
      <c r="Q19" s="13"/>
      <c r="R19" s="13"/>
      <c r="S19" s="13"/>
      <c r="T19" s="5"/>
    </row>
    <row r="20" spans="1:20" ht="16" x14ac:dyDescent="0.4">
      <c r="A20" s="47"/>
      <c r="B20" s="48"/>
      <c r="C20" s="48"/>
      <c r="D20" s="13"/>
      <c r="E20" s="13"/>
      <c r="F20" s="13"/>
      <c r="G20" s="13"/>
      <c r="H20" s="13"/>
      <c r="I20" s="13"/>
      <c r="J20" s="13"/>
      <c r="K20" s="13"/>
      <c r="L20" s="13"/>
      <c r="M20" s="13"/>
      <c r="N20" s="13"/>
      <c r="O20" s="13"/>
      <c r="P20" s="13"/>
      <c r="Q20" s="13"/>
      <c r="R20" s="13"/>
      <c r="S20" s="13"/>
      <c r="T20" s="5"/>
    </row>
    <row r="21" spans="1:20" x14ac:dyDescent="0.35">
      <c r="A21" s="6"/>
      <c r="B21" s="6"/>
      <c r="C21" s="6"/>
      <c r="D21" s="13"/>
      <c r="E21" s="13"/>
      <c r="F21" s="13"/>
      <c r="G21" s="13"/>
      <c r="H21" s="13"/>
      <c r="I21" s="13"/>
      <c r="J21" s="13"/>
      <c r="K21" s="13"/>
      <c r="L21" s="13"/>
      <c r="M21" s="13"/>
      <c r="N21" s="13"/>
      <c r="O21" s="13"/>
      <c r="P21" s="13"/>
      <c r="Q21" s="13"/>
      <c r="R21" s="13"/>
      <c r="S21" s="13"/>
      <c r="T21" s="5"/>
    </row>
    <row r="22" spans="1:20" x14ac:dyDescent="0.35">
      <c r="A22" s="6"/>
      <c r="B22" s="6"/>
      <c r="C22" s="6"/>
      <c r="D22" s="13"/>
      <c r="E22" s="13"/>
      <c r="F22" s="13"/>
      <c r="G22" s="13"/>
      <c r="H22" s="13"/>
      <c r="I22" s="13"/>
      <c r="J22" s="13"/>
      <c r="K22" s="13"/>
      <c r="L22" s="13"/>
      <c r="M22" s="13"/>
      <c r="N22" s="13"/>
      <c r="O22" s="13"/>
      <c r="P22" s="13"/>
      <c r="Q22" s="13"/>
      <c r="R22" s="13"/>
      <c r="S22" s="13"/>
      <c r="T22" s="5"/>
    </row>
    <row r="23" spans="1:20" ht="16" x14ac:dyDescent="0.4">
      <c r="A23" s="47"/>
      <c r="B23" s="48"/>
      <c r="C23" s="48"/>
      <c r="D23" s="13"/>
      <c r="E23" s="13"/>
      <c r="F23" s="13"/>
      <c r="G23" s="13"/>
      <c r="H23" s="13"/>
      <c r="I23" s="13"/>
      <c r="J23" s="13"/>
      <c r="K23" s="13"/>
      <c r="L23" s="13"/>
      <c r="M23" s="13"/>
      <c r="N23" s="13"/>
      <c r="O23" s="13"/>
      <c r="P23" s="13"/>
      <c r="Q23" s="13"/>
      <c r="R23" s="13"/>
      <c r="S23" s="13"/>
      <c r="T23" s="5"/>
    </row>
    <row r="24" spans="1:20" x14ac:dyDescent="0.35">
      <c r="A24" s="6"/>
      <c r="B24" s="6"/>
      <c r="C24" s="6"/>
      <c r="D24" s="13"/>
      <c r="E24" s="13"/>
      <c r="F24" s="13"/>
      <c r="G24" s="13"/>
      <c r="H24" s="13"/>
      <c r="I24" s="13"/>
      <c r="J24" s="13"/>
      <c r="K24" s="13"/>
      <c r="L24" s="13"/>
      <c r="M24" s="13"/>
      <c r="N24" s="13"/>
      <c r="O24" s="13"/>
      <c r="P24" s="13"/>
      <c r="Q24" s="13"/>
      <c r="R24" s="13"/>
      <c r="S24" s="13"/>
      <c r="T24" s="5"/>
    </row>
    <row r="25" spans="1:20" x14ac:dyDescent="0.35">
      <c r="A25" s="6"/>
      <c r="B25" s="6"/>
      <c r="C25" s="6"/>
      <c r="D25" s="13"/>
      <c r="E25" s="13"/>
      <c r="F25" s="13"/>
      <c r="G25" s="13"/>
      <c r="H25" s="13"/>
      <c r="I25" s="13"/>
      <c r="J25" s="13"/>
      <c r="K25" s="13"/>
      <c r="L25" s="13"/>
      <c r="M25" s="13"/>
      <c r="N25" s="13"/>
      <c r="O25" s="13"/>
      <c r="P25" s="13"/>
      <c r="Q25" s="13"/>
      <c r="R25" s="13"/>
      <c r="S25" s="13"/>
      <c r="T25" s="5"/>
    </row>
    <row r="26" spans="1:20" ht="16" x14ac:dyDescent="0.4">
      <c r="A26" s="47"/>
      <c r="B26" s="48"/>
      <c r="C26" s="48"/>
      <c r="D26" s="13"/>
      <c r="E26" s="13"/>
      <c r="F26" s="13"/>
      <c r="G26" s="13"/>
      <c r="H26" s="13"/>
      <c r="I26" s="13"/>
      <c r="J26" s="13"/>
      <c r="K26" s="13"/>
      <c r="L26" s="13"/>
      <c r="M26" s="13"/>
      <c r="N26" s="13"/>
      <c r="O26" s="13"/>
      <c r="P26" s="13"/>
      <c r="Q26" s="13"/>
      <c r="R26" s="13"/>
      <c r="S26" s="13"/>
      <c r="T26" s="5"/>
    </row>
    <row r="27" spans="1:20" x14ac:dyDescent="0.35">
      <c r="A27" s="6"/>
      <c r="B27" s="6"/>
      <c r="C27" s="6"/>
      <c r="D27" s="13"/>
      <c r="E27" s="13"/>
      <c r="F27" s="13"/>
      <c r="G27" s="13"/>
      <c r="H27" s="13"/>
      <c r="I27" s="13"/>
      <c r="J27" s="13"/>
      <c r="K27" s="13"/>
      <c r="L27" s="13"/>
      <c r="M27" s="13"/>
      <c r="N27" s="13"/>
      <c r="O27" s="13"/>
      <c r="P27" s="13"/>
      <c r="Q27" s="13"/>
      <c r="R27" s="13"/>
      <c r="S27" s="13"/>
      <c r="T27" s="5"/>
    </row>
    <row r="28" spans="1:20" x14ac:dyDescent="0.35">
      <c r="A28" s="6"/>
      <c r="B28" s="6"/>
      <c r="C28" s="6"/>
      <c r="D28" s="13"/>
      <c r="E28" s="13"/>
      <c r="F28" s="13"/>
      <c r="G28" s="13"/>
      <c r="H28" s="13"/>
      <c r="I28" s="13"/>
      <c r="J28" s="13"/>
      <c r="K28" s="13"/>
      <c r="L28" s="13"/>
      <c r="M28" s="13"/>
      <c r="N28" s="13"/>
      <c r="O28" s="13"/>
      <c r="P28" s="13"/>
      <c r="Q28" s="13"/>
      <c r="R28" s="13"/>
      <c r="S28" s="13"/>
      <c r="T28" s="5"/>
    </row>
    <row r="29" spans="1:20" x14ac:dyDescent="0.35">
      <c r="A29" s="6"/>
      <c r="B29" s="6"/>
      <c r="C29" s="6"/>
      <c r="D29" s="13"/>
      <c r="E29" s="13"/>
      <c r="F29" s="13"/>
      <c r="G29" s="13"/>
      <c r="H29" s="13"/>
      <c r="I29" s="13"/>
      <c r="J29" s="13"/>
      <c r="K29" s="13"/>
      <c r="L29" s="13"/>
      <c r="M29" s="13"/>
      <c r="N29" s="13"/>
      <c r="O29" s="13"/>
      <c r="P29" s="13"/>
      <c r="Q29" s="13"/>
      <c r="R29" s="13"/>
      <c r="S29" s="13"/>
      <c r="T29" s="5"/>
    </row>
    <row r="30" spans="1:20" x14ac:dyDescent="0.35">
      <c r="A30" s="6"/>
      <c r="B30" s="6"/>
      <c r="C30" s="6"/>
      <c r="D30" s="13"/>
      <c r="E30" s="13"/>
      <c r="F30" s="13"/>
      <c r="G30" s="13"/>
      <c r="H30" s="13"/>
      <c r="I30" s="13"/>
      <c r="J30" s="13"/>
      <c r="K30" s="13"/>
      <c r="L30" s="13"/>
      <c r="M30" s="13"/>
      <c r="N30" s="13"/>
      <c r="O30" s="13"/>
      <c r="P30" s="13"/>
      <c r="Q30" s="13"/>
      <c r="R30" s="13"/>
      <c r="S30" s="13"/>
      <c r="T30" s="5"/>
    </row>
  </sheetData>
  <mergeCells count="7">
    <mergeCell ref="A26:C26"/>
    <mergeCell ref="A8:C8"/>
    <mergeCell ref="A11:C11"/>
    <mergeCell ref="A14:C14"/>
    <mergeCell ref="A17:C17"/>
    <mergeCell ref="A20:C20"/>
    <mergeCell ref="A23:C23"/>
  </mergeCells>
  <hyperlinks>
    <hyperlink ref="A8:C8" location="overview!A1" display="OVERVIEW" xr:uid="{FF8D69A3-5692-4780-99E3-A2313F478C99}"/>
    <hyperlink ref="A14:C14" location="MOVIES!A1" display="MOVIES" xr:uid="{8C4EA5E4-B0B9-41A1-8AB5-33B4145B77BD}"/>
    <hyperlink ref="A11:C11" location="BOOKINGS!A1" display="BOOKINGS" xr:uid="{B1256A0D-9FC4-43FC-BC79-130333A839EE}"/>
  </hyperlink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Sheet3</vt:lpstr>
      <vt:lpstr>pivot</vt:lpstr>
      <vt:lpstr>pivotM</vt:lpstr>
      <vt:lpstr>pivotb</vt:lpstr>
      <vt:lpstr>OVERVIEW</vt:lpstr>
      <vt:lpstr>MOVIES</vt:lpstr>
      <vt:lpstr>BOOKINGS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Aysel</cp:lastModifiedBy>
  <dcterms:created xsi:type="dcterms:W3CDTF">2026-08-26T01:15:07Z</dcterms:created>
  <dcterms:modified xsi:type="dcterms:W3CDTF">2026-09-16T06:34:45Z</dcterms:modified>
</cp:coreProperties>
</file>